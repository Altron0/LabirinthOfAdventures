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429"/>
  <workbookPr/>
  <mc:AlternateContent xmlns:mc="http://schemas.openxmlformats.org/markup-compatibility/2006">
    <mc:Choice Requires="x15">
      <x15ac:absPath xmlns:x15ac="http://schemas.microsoft.com/office/spreadsheetml/2010/11/ac" url="C:\Users\Xkryn\Downloads\"/>
    </mc:Choice>
  </mc:AlternateContent>
  <xr:revisionPtr revIDLastSave="0" documentId="13_ncr:1_{A43E0C0C-6FFA-4107-AED4-02DC18D70D3B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Критерии оценки" sheetId="1" r:id="rId1"/>
    <sheet name="Перечень профессиональных задач" sheetId="2" r:id="rId2"/>
  </sheets>
  <calcPr calcId="191029"/>
</workbook>
</file>

<file path=xl/calcChain.xml><?xml version="1.0" encoding="utf-8"?>
<calcChain xmlns="http://schemas.openxmlformats.org/spreadsheetml/2006/main">
  <c r="I215" i="1" l="1"/>
  <c r="I223" i="1"/>
  <c r="I233" i="1"/>
  <c r="I96" i="1" l="1"/>
  <c r="I43" i="1"/>
  <c r="I7" i="1"/>
  <c r="I271" i="1" l="1"/>
</calcChain>
</file>

<file path=xl/sharedStrings.xml><?xml version="1.0" encoding="utf-8"?>
<sst xmlns="http://schemas.openxmlformats.org/spreadsheetml/2006/main" count="519" uniqueCount="254">
  <si>
    <t>Мероприятие</t>
  </si>
  <si>
    <t>Наименование компетенции</t>
  </si>
  <si>
    <t>Разработчик мобильных игр</t>
  </si>
  <si>
    <t>Код</t>
  </si>
  <si>
    <t>Субкритерий</t>
  </si>
  <si>
    <t>Тип аспекта</t>
  </si>
  <si>
    <t>Аспект</t>
  </si>
  <si>
    <t>Судейский балл</t>
  </si>
  <si>
    <t>Методика проверки аспекта</t>
  </si>
  <si>
    <t>Требование или номинальный размер</t>
  </si>
  <si>
    <t>Проф. задача</t>
  </si>
  <si>
    <t>Макс. балл</t>
  </si>
  <si>
    <t>А</t>
  </si>
  <si>
    <t>Создание проекта</t>
  </si>
  <si>
    <t>И</t>
  </si>
  <si>
    <t>Проект находится в папке номер конкурсанта</t>
  </si>
  <si>
    <t>Не засчитывать если не выполнено</t>
  </si>
  <si>
    <t>Организация проекта</t>
  </si>
  <si>
    <t>С</t>
  </si>
  <si>
    <t>Структурирование проекта</t>
  </si>
  <si>
    <t>Отсутствует</t>
  </si>
  <si>
    <t>Не все ресурсы структурированы по папкам</t>
  </si>
  <si>
    <t>Все ресурсы структурированы по папкам</t>
  </si>
  <si>
    <t>Все файлы структурированы, папки имеют название, по которым легко идентифицировать их</t>
  </si>
  <si>
    <t>Наименование ресурсов</t>
  </si>
  <si>
    <t>Ресурсы названы хаотично</t>
  </si>
  <si>
    <t>Не все ресурсы имеют понятное название</t>
  </si>
  <si>
    <t>Создание логотипа игры</t>
  </si>
  <si>
    <t>Айдентика</t>
  </si>
  <si>
    <t>Логотип есть</t>
  </si>
  <si>
    <t>Логотип есть, соответствует тематике игры</t>
  </si>
  <si>
    <t>Логотип есть, соответствует тематики игры и профессиональным стандартам</t>
  </si>
  <si>
    <t>Использование логотипа</t>
  </si>
  <si>
    <t>Б</t>
  </si>
  <si>
    <t>Разработка пользовательского интерфейса</t>
  </si>
  <si>
    <t>Верстка рабочих окон</t>
  </si>
  <si>
    <t>Окно игры</t>
  </si>
  <si>
    <t>Окно отсутствует</t>
  </si>
  <si>
    <t>Окно есть</t>
  </si>
  <si>
    <t>Окно есть и соответствует дизайну</t>
  </si>
  <si>
    <t>Окно есть и соответсвует дизайну и реализован весь функционал (все ui элементы работают (не считая кнопок управления))</t>
  </si>
  <si>
    <t>Окно есть и соответсвует дизайну и реализован весь функционал (все ui элементы работают)</t>
  </si>
  <si>
    <t>Окно "Настройки"</t>
  </si>
  <si>
    <t>Окно есть и соответсвует дизайну</t>
  </si>
  <si>
    <t>Окно "Пауза"</t>
  </si>
  <si>
    <t>Окно "Сюжет"</t>
  </si>
  <si>
    <t>Окно "Правила игры"</t>
  </si>
  <si>
    <t>Окно "Победа"</t>
  </si>
  <si>
    <t>Использование инструментов верстки</t>
  </si>
  <si>
    <t>Используется Canvas</t>
  </si>
  <si>
    <t>Весь интерфейс собран на объектах UI</t>
  </si>
  <si>
    <t>Используется нестандатный шрифт</t>
  </si>
  <si>
    <t>Адаптивность окон</t>
  </si>
  <si>
    <t>Окна адаптируются под разные типы устройств в альбомной ориентации</t>
  </si>
  <si>
    <t>В</t>
  </si>
  <si>
    <t>Реализация игровых механик</t>
  </si>
  <si>
    <t>Программирование системы управления игроком для пользователя</t>
  </si>
  <si>
    <t>Управление работает корректно</t>
  </si>
  <si>
    <t>Есть не кликабельная кнопка</t>
  </si>
  <si>
    <t>Старт новой игры</t>
  </si>
  <si>
    <t>Программирование</t>
  </si>
  <si>
    <t>Комментарии</t>
  </si>
  <si>
    <t>Комментарии есть, но не везде</t>
  </si>
  <si>
    <t>Комментарии summary у каждого класса, но содержат только описани без аргументов</t>
  </si>
  <si>
    <t>Комментарии summary у каждого класса и содержат полное описание передаваемых параметров</t>
  </si>
  <si>
    <t>Отсутсвуют закомментированые блоки кода</t>
  </si>
  <si>
    <t>Наименование классов и переменных</t>
  </si>
  <si>
    <t>Наименование классов и переменных имеет общий стиль</t>
  </si>
  <si>
    <t>Расположение скриптов</t>
  </si>
  <si>
    <t>Скриптов нет</t>
  </si>
  <si>
    <t>Скрипты разбросанны хаотично</t>
  </si>
  <si>
    <t>Скрипты в отдельной папке</t>
  </si>
  <si>
    <t>Скрипты расположены в подпапках, в подпапках есть деление на логические элементы</t>
  </si>
  <si>
    <t>В игре можно включить/ выключить музыку и звук</t>
  </si>
  <si>
    <t>Есть звук на нажатие любой кнопки</t>
  </si>
  <si>
    <t>Звуки и музыка в игре</t>
  </si>
  <si>
    <t>Звуков и музыки нет</t>
  </si>
  <si>
    <t>Звуки и музыка есть частично</t>
  </si>
  <si>
    <t>Г</t>
  </si>
  <si>
    <t>Хранение данных</t>
  </si>
  <si>
    <t>Д</t>
  </si>
  <si>
    <t>Оптимизация и тестирование игры</t>
  </si>
  <si>
    <t>Тестирование билда</t>
  </si>
  <si>
    <t>Е</t>
  </si>
  <si>
    <t>Питч игры</t>
  </si>
  <si>
    <t>Организация и проведение презентации</t>
  </si>
  <si>
    <t>Создана презентация</t>
  </si>
  <si>
    <t>Презентация содержит название игры</t>
  </si>
  <si>
    <t>Презентация содержит жанр(ы) игры</t>
  </si>
  <si>
    <t>Презентация содержит целевую аудиторию игры</t>
  </si>
  <si>
    <t>Презентация содержит основные механики игры (со скриншотами/записью экрана)</t>
  </si>
  <si>
    <t>Презентация содержит описание производительности</t>
  </si>
  <si>
    <t>Современность оформления презентации</t>
  </si>
  <si>
    <t>Оригинальность выбранного презентационного средства</t>
  </si>
  <si>
    <t>Соблюдение временного регламента</t>
  </si>
  <si>
    <t>Коммуникация с аудиторией</t>
  </si>
  <si>
    <t>Доклад (речь) конкурсанта удовлетворяет стандартам</t>
  </si>
  <si>
    <t>Ответы на вопросы</t>
  </si>
  <si>
    <t>Ответы на вопросы отсутствуют</t>
  </si>
  <si>
    <t>Поведение конкурсанта во время выступления удовлетворяет стандартам</t>
  </si>
  <si>
    <t>Конкурсант замкнут, не уверен в себе</t>
  </si>
  <si>
    <t>Выступление конкурсанта имеет недостатки</t>
  </si>
  <si>
    <t>Конкурсант выступил отлично</t>
  </si>
  <si>
    <t>Выступление конкурсанта яркое, запоминающееся</t>
  </si>
  <si>
    <t>Презентовано</t>
  </si>
  <si>
    <t>Итого:</t>
  </si>
  <si>
    <t>Перечень профессиональных задач</t>
  </si>
  <si>
    <t>Организация и управление работой</t>
  </si>
  <si>
    <t>Окно "Введите свой никнейм"</t>
  </si>
  <si>
    <t>Окно "Таблица результатов"</t>
  </si>
  <si>
    <t>Сохраняется текущий прогресс уровня топлива</t>
  </si>
  <si>
    <t>Сохраняется текущий прогресс уровня кислорода</t>
  </si>
  <si>
    <t>Сохраняется текущее положение игрока</t>
  </si>
  <si>
    <t>Сохраняется текущее положение НЛО</t>
  </si>
  <si>
    <t>Презентация содержит титульную страницу</t>
  </si>
  <si>
    <t>Корректное управлением джойстиками</t>
  </si>
  <si>
    <t>Есть не кликабельные джойстики</t>
  </si>
  <si>
    <t>Все компоненты джойстиков (левый и правый) являются кликабельными и имеют функционал</t>
  </si>
  <si>
    <t>Есть кликабельная кнопка, позволяющая взаимодействовать с доп ресурсами, которая появляется только, когда возможно взаимодействие, и скрывается когда дейтсвие не возможно</t>
  </si>
  <si>
    <t>Все компоненты джойстиков (левый и правый) кликабельные и имеют функционал, персонаж двигается в соответствии с ними</t>
  </si>
  <si>
    <t>Все  компоненты джойстиков (левый и правый) кликабельные и имеют функционал, персонаж двигается в соответствии с ними и  с анимацией (поворот камеры и головы космонавта)</t>
  </si>
  <si>
    <t>Есть кликабельная кнопка, позволяющая взаимодействовать с дополнительными ресурсами</t>
  </si>
  <si>
    <t>Есть кликабельная кнопка, позволяющая взаимодействовать с дополнительными ресурсами, которая появляется только, когда возможно взаимодействие</t>
  </si>
  <si>
    <t>Сохраняется никнейм игрока при загрузке игры</t>
  </si>
  <si>
    <t xml:space="preserve">Разработка игрового арта (моделей, интерфейсов). Импорт и настройка игровых моделей </t>
  </si>
  <si>
    <t>Ресурсы имеют название, по которому понятно что это и названы по русски либо комбинированно</t>
  </si>
  <si>
    <t>Все ресурсы имеют название, по которому понятно что это и названы на английском языке</t>
  </si>
  <si>
    <t>Модель отсутствует</t>
  </si>
  <si>
    <t>Модель имеет базовую форму, но не содержит необходимых деталей или элементов, , характерных для космической станции. Текстуры отсутствуют или применены неуместно, что затрудняет восприятие модели</t>
  </si>
  <si>
    <t>Модель выполнена с достаточным уровнем детализации, но может содержать некоторые недочеты (например, нечеткие текстуры или недостаток элементов). Основные элементы, такие как, антенны и солнечные панели, присутствуют, но могут быть выполнены не совсем точно. Текстуры применены, но могут быть улучшены для повышения реалистичности</t>
  </si>
  <si>
    <t>Модель имеет базовую форму, но не содержит необходимых деталей или элементов, , характерных для космического спутника. Текстуры отсутствуют или применены неуместно, что затрудняет восприятие модели</t>
  </si>
  <si>
    <t>Модель выполнена с высоким уровнем детализации и соответствует всем требованиям задания. Все элементы, включая антенны и солнечные панели, проработаны с учетом реалистичности и функциональности. Текстуры качественные и хорошо интегрированы в модель, создавая эффект завершенности и правдоподобия</t>
  </si>
  <si>
    <t>Модель выполнена с достаточным уровнем детализации, но может содержать некоторые недочеты (например, нечеткие текстуры или недостаток элементов). Основные элементы, такие как, шлюзы и окна, присутствуют, но могут быть выполнены не совсем точно. Текстуры применены, но могут быть улучшены для повышения реалистичности</t>
  </si>
  <si>
    <t>Модель выполнена с высоким уровнем детализации и соответствует всем требованиям задания. Все элементы, включая шлюзы и окна, проработаны с учетом реалистичности и функциональности. Текстуры качественные и хорошо интегрированы в модель, создавая эффект завершенности и правдоподобия</t>
  </si>
  <si>
    <t>Логотип отсутствует</t>
  </si>
  <si>
    <t>Постер отсутствует</t>
  </si>
  <si>
    <t>Постер имеет базовую композицию, но не содержит необходимых элементов, характерных для игры (например, название, логотип, ключевые персонажи). Используемые цвета и шрифты не соответствуют стилю игры, что затрудняет восприятие. Постер выглядит неаккуратно или некачественно, с заметными недочетами</t>
  </si>
  <si>
    <t>Постер выполнен с высоким уровнем детализации и полностью соответствует теме и стилю игры. Используемые цвета, шрифты и композиция гармонично сочетаются, создавая привлекательный и запоминающийся визуальный образ. Постер выглядит профессионально и может быть использован в различных маркетинговых материалах</t>
  </si>
  <si>
    <t>Постер выполнен с достаточным уровнем детализации и содержит основные элементы игры (например, название, логотип, ключевые персонажи). Используемые цвета и шрифты в целом соответствуют стилю игры, но могут быть улучшены для создания более гармоничного визуального восприятия. Постер выглядит аккуратно и профессионально, но может содержать некоторые недочеты или недостаток оригинальности</t>
  </si>
  <si>
    <t>Создание постера</t>
  </si>
  <si>
    <t>Создание игрового арта (моделей, интерфейсов)</t>
  </si>
  <si>
    <t>Презентация игры на мобильном устройстве (смартфон)</t>
  </si>
  <si>
    <t>Наличие рабочего билда</t>
  </si>
  <si>
    <t>Стабильность и производительность</t>
  </si>
  <si>
    <t>Игровая прогрессия и развитие</t>
  </si>
  <si>
    <t>Уровень увлекательности и вовлеченности</t>
  </si>
  <si>
    <t>Игра не вызывает интереса, отсутствие сюжета или целей</t>
  </si>
  <si>
    <t>Игра имеет некоторые интересные элементы, но они не достаточно сильны, чтобы удерживать внимание</t>
  </si>
  <si>
    <t>Игра привлекает внимание и вызывает желание продолжать играть, предлагая достаточно увлекательный опыт</t>
  </si>
  <si>
    <t>Игра создает атмосферу, в которой хочется проводить время, исследуя каждый аспект и взаимодействуя с окружающим миром</t>
  </si>
  <si>
    <t>Доклад (речь) не удовлетворяет стандартам. Доклад (речь)  не соответствует основным требованиям, содержит множество ошибок и неясностей, не структурирован, не вызывает интереса у слушателей</t>
  </si>
  <si>
    <t>Доклад (речь) частично удовлетворяет стандартам. Доклад (речь)  имеет некоторые элементы, соответствующие требованиям, но содержит значительные недостатки в структуре, ясности или содержании. Слушатели могут испытывать трудности с пониманием</t>
  </si>
  <si>
    <t>Доклад (речь)  удовлетворяет стандартам. Доклад (речь)  соответствует основным требованиям, имеет четкую структуру и логичное содержание. Информация представлена ясно и доступно, но может не быть достаточно увлекательной или оригинальной</t>
  </si>
  <si>
    <t>Доклад (речь)  полностью удовлетворяет стандартам. Доклад (речь)  превосходит ожидания, полностью соответствует требованиям. Он хорошо структурирован, логичен, интересен и увлекателен для слушателей. Конкурсант демонстрирует уверенность и мастерство в подаче материала</t>
  </si>
  <si>
    <t>Ответы на вопросы полные, четкие и содержательные. Конкурсант демонстрирует глубокое понимание темы, отвечает на вопросы с уверенностью и может приводить примеры или дополнительные пояснения</t>
  </si>
  <si>
    <t>Ответы на вопросы ясные и релевантные. Конкурсант демонстрирует общее понимание темы и может объяснить основные аспекты, хотя некоторые детали могут быть упущены</t>
  </si>
  <si>
    <t>Ответы на вопросы предоставлены, но содержат значительные недостатки. Конкурсант может давать неполные или неясные ответы, не демонстрируя глубокого понимания темы</t>
  </si>
  <si>
    <t>Презентационное средство является высоко оригинальным и инновационным. Конкурсант использует уникальные и креативные подходы, которые значительно усиливают восприятие материала и вовлекают аудиторию</t>
  </si>
  <si>
    <t>Презентационное средство демонстрирует хорошую степень оригинальности и творческого подхода. Конкурсант использует разнообразные форматы и методы, которые делают презентацию более интересной и интерактивной</t>
  </si>
  <si>
    <t>Презентационное средство имеет некоторые оригинальные элементы, но в целом оно все еще напоминает стандартные форматы. Идеи могут быть недостаточно разработаны или реализованы</t>
  </si>
  <si>
    <t>Использовано традиционное или устаревшее презентационное средство без каких-либо попыток к инновациям. Презентация не привлекает внимание и не вызывает интереса</t>
  </si>
  <si>
    <t>Оформление презентации устаревшее и неактуальное. Используются старые шрифты, цветовые схемы и графические элементы, которые не соответствуют современным требованиям. Презентация выглядит неаккуратно и не привлекает внимание</t>
  </si>
  <si>
    <t>Оформление презентации содержит некоторые современные элементы, но в целом выглядит неустойчиво и негармонично. Используются как устаревшие, так и современные шрифты и цвета, что создает диссонанс. Презентация может быть трудной для восприятия</t>
  </si>
  <si>
    <t>Оформление презентации является высоко современным и профессиональным. Используются актуальные шрифты, стильные цветовые схемы и современные графические элементы. Презентация выглядит гармонично и привлекательно, что способствует лучшему восприятию информации</t>
  </si>
  <si>
    <t>Оформление презентации в целом современное и актуальное. Используются современные шрифты, цветовые схемы и графические элементы, но могут быть небольшие недостатки в дизайне или композиции, которые незначительно снижают общее впечатление</t>
  </si>
  <si>
    <t>Сохраняется никнейм игрока в таблице результатов</t>
  </si>
  <si>
    <t>Окно "Главное меню"</t>
  </si>
  <si>
    <t>Создание 3D модели "Персонаж"</t>
  </si>
  <si>
    <t>Создание 3D модели "Противник"</t>
  </si>
  <si>
    <t>Функциональная кнопка для взаимодействия с дополнительными ресурсами (артефакты и предметы)</t>
  </si>
  <si>
    <t>Игрок может подбирать сокровища и артефакты, только если пройдет через них</t>
  </si>
  <si>
    <t>Игрок может взаимодействовать с головоломкой, только если подойдет вплотную к ней</t>
  </si>
  <si>
    <t>Игрок может взаимодействовать с дверями, платформами, люками и т.д., только если подойдет к ним</t>
  </si>
  <si>
    <t>При подходе игрока к двери, платформе, люку и т.д. они подсвечиваются</t>
  </si>
  <si>
    <t>Игрок не может пройти сквозь закрытую дверь, люк, платформу</t>
  </si>
  <si>
    <t>Игроку доступны подсказки</t>
  </si>
  <si>
    <t>Когда игрок может взаимодействовать с противниками, у противника над головой появляется полоса здоровья</t>
  </si>
  <si>
    <t>Когда игрок подбирает сокровище или артефакт всплывает соответствующее сообщение</t>
  </si>
  <si>
    <t>Игрок может взаимодействовать с противником только тем предметом, который у него в руке</t>
  </si>
  <si>
    <t>Уровень и опыт игрока равны 1 и 0 соответсвено</t>
  </si>
  <si>
    <t>Взаимодействие с игровым миром и объектами</t>
  </si>
  <si>
    <t>Игрок не может пройти через стены</t>
  </si>
  <si>
    <t>При подходе игрока к головоломке она подсвечивается</t>
  </si>
  <si>
    <t>Игрок не может пройти сквозь противника</t>
  </si>
  <si>
    <t>У игрока при старте имеется стартовый набор предметов соответсвующих его уровню</t>
  </si>
  <si>
    <t>Стартовый набор предметов соответсвует ГДД</t>
  </si>
  <si>
    <t>Реализация взаимодействия с инвентарем</t>
  </si>
  <si>
    <t>При нажатии пользователем на кнопку инвентаря, открывается окно инвентаря</t>
  </si>
  <si>
    <t>Повторное нажание на кнопку инвентаря, скрывает окно</t>
  </si>
  <si>
    <t>Предметы в инвентаре стакаются</t>
  </si>
  <si>
    <t>Предметы стакаются в инвентаре согласно ГДД</t>
  </si>
  <si>
    <t>При выборе предмета, реализована возможность его утилизировать</t>
  </si>
  <si>
    <t>Первое нажатие выбирает предмет, второе нажатие указывает куда переместить предмет</t>
  </si>
  <si>
    <t>Если изначально была выбрана пустая ячейка, ничего не происходит и выбор ячейки изменяется на следующее нажатие</t>
  </si>
  <si>
    <t>Если предмет был перемещен, выбранная ячейка отсутсвует</t>
  </si>
  <si>
    <t>Реализация взаимодействия с окном персонажа</t>
  </si>
  <si>
    <t>Игрок может выбирать внешность персонажа</t>
  </si>
  <si>
    <t>Изначальный уровень персонажа 1</t>
  </si>
  <si>
    <t>При переходе на новый уровень добавляются 5 очков характеристик</t>
  </si>
  <si>
    <t>Количество опыта для получения нового уровня соответсвует времени указанных в ГДД</t>
  </si>
  <si>
    <t>С каждым новым уровнем опыта требуется больше</t>
  </si>
  <si>
    <t>Увеличение количества опыта соответствует ГДД</t>
  </si>
  <si>
    <t>При получении урона очки здоровья персонажа уменьшаются</t>
  </si>
  <si>
    <t>Урон разных противников соответсвует ГДД</t>
  </si>
  <si>
    <t xml:space="preserve">При смерти персонажа он возрождается с пустым инвентарем в начале уровня </t>
  </si>
  <si>
    <t>При использовании зелья лечения здоровье персонажа увеличивается на определенное количество пунктов</t>
  </si>
  <si>
    <t>Количество получаемого здоровья соответсвует ГДД</t>
  </si>
  <si>
    <t>При использовании зелья маны мана персонажа увеличивается на определенное количество пунктов</t>
  </si>
  <si>
    <t>Количество получаемой маны соответсвует ГДД</t>
  </si>
  <si>
    <t>Реализованы тесты (5 тестов)  для проверки работоспособности различных сценариев персонажа</t>
  </si>
  <si>
    <t>Реализация взаимодействия с характеристиками</t>
  </si>
  <si>
    <t>При взаимодействии с характеристиками, открывается окно характеристик</t>
  </si>
  <si>
    <t>Реализована возможность сбросить очки характеристик</t>
  </si>
  <si>
    <t>Реализованы следующие характеристики: урон, магический урон, здоровье и мана</t>
  </si>
  <si>
    <t>В заказе находятся только те предметы, которые соответсвуют текущему или более низкому уровню игрока</t>
  </si>
  <si>
    <t>За выполнение заказа игрок получает опыт и монеты</t>
  </si>
  <si>
    <t>Количество опыта и монет соответсвует схеме вознаграждения указаной в ГДД</t>
  </si>
  <si>
    <t>При выполнении заказа, блок с заказом пропадает</t>
  </si>
  <si>
    <t>Если находится более одного блока заказа, то при исчезновении одного блока, остальные должны заполнить пустоты (выровниться)</t>
  </si>
  <si>
    <t>Реализация работы системы уровней</t>
  </si>
  <si>
    <t>Реализована уровневая система</t>
  </si>
  <si>
    <t>Количество требуемого опыта для повышения уровней соответсвует ГДД</t>
  </si>
  <si>
    <t>Каждый новый уровень, значение опыта сбрасывается до нуля</t>
  </si>
  <si>
    <t>Если получаемый опыт больше, чем необходимо для повышения уровня, то весь остаток переходит на новый уровень</t>
  </si>
  <si>
    <t>Реализованы тесты (3 теста)  для проверки работоспособности системы уровней</t>
  </si>
  <si>
    <t>Реализация взаимодействия с противниками</t>
  </si>
  <si>
    <t>Игрок может взаимодействовать с противником на определенном расстоянии</t>
  </si>
  <si>
    <t>При нанесении урона противнику у него убавляются очки здоровья</t>
  </si>
  <si>
    <t>При промахе отображается соответствующее сообщение</t>
  </si>
  <si>
    <t>Если количество очков здоровья у противника стало равным 0, то противник умирает</t>
  </si>
  <si>
    <t>После смерти тело противнка исчезает</t>
  </si>
  <si>
    <t>Время исчезновения тела противника соответствует ГДД</t>
  </si>
  <si>
    <t>Реализация взаимодействия с боссом</t>
  </si>
  <si>
    <t>Игрок не может перейти на следующий уровень не убив босса</t>
  </si>
  <si>
    <t>Очков здоровья у босса больше, чем у обычных противников</t>
  </si>
  <si>
    <t>После победы появляется соответствующее сообщение</t>
  </si>
  <si>
    <t>После смерти босса появляется возможность перехода на следующий уровень</t>
  </si>
  <si>
    <t>Реализовать 2 теста по убийству босса и переходу на следующий уровень</t>
  </si>
  <si>
    <t>Минус 0,75 за каждый отсутсвующий</t>
  </si>
  <si>
    <t>Реализация использования артефактов</t>
  </si>
  <si>
    <t>Артефакты не должны стакаться</t>
  </si>
  <si>
    <t xml:space="preserve">Артефакты имеют количество использований </t>
  </si>
  <si>
    <t>Количество использований артефактов соответствует ГДД</t>
  </si>
  <si>
    <t>При исчерпании запаса прочности артефакт пропадает из инвентаря</t>
  </si>
  <si>
    <t>Артефакты можно выбросить из инвентаря</t>
  </si>
  <si>
    <t>Реализованы тесты (2 теста) для проверки работоспособности прочности артефактов</t>
  </si>
  <si>
    <t>Коминатриев нет</t>
  </si>
  <si>
    <t>Наименовани классов и переменных  хаотичны</t>
  </si>
  <si>
    <t>Наименование переменных везде в стиле camel case, Название переменных и классов не везде отражает их назначение</t>
  </si>
  <si>
    <t>Наименование переменных везде в стиле camel case, Название переменных и классов отражает их назначение</t>
  </si>
  <si>
    <t>Создание программной анимации</t>
  </si>
  <si>
    <t>Звуки в игре: на нажатие на кнопки, фоновая музыка, проигрыш, выигрыш</t>
  </si>
  <si>
    <t>Звуки в игре сочетаются с визуальной частью, нажатие на кнопки: фоновая музыка, проигрыш, выигрыш</t>
  </si>
  <si>
    <t>Проект называется "LabirinthAdventures"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</si>
</sst>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theme="1"/>
      <name val="Arial"/>
      <scheme val="minor"/>
    </font>
    <font>
      <sz val="12"/>
      <name val="Calibri"/>
      <family val="2"/>
      <charset val="204"/>
    </font>
    <font>
      <sz val="12"/>
      <color indexed="23"/>
      <name val="Calibri"/>
      <family val="2"/>
      <charset val="204"/>
    </font>
    <font>
      <b/>
      <sz val="12"/>
      <color indexed="65"/>
      <name val="Calibri"/>
      <family val="2"/>
      <charset val="204"/>
    </font>
    <font>
      <b/>
      <sz val="12"/>
      <name val="Calibri"/>
      <family val="2"/>
      <charset val="204"/>
    </font>
    <font>
      <b/>
      <sz val="12"/>
      <color theme="0"/>
      <name val="Arial"/>
      <family val="2"/>
      <charset val="204"/>
      <scheme val="minor"/>
    </font>
    <font>
      <sz val="12"/>
      <color theme="1"/>
      <name val="Calibri"/>
      <family val="2"/>
      <charset val="204"/>
    </font>
    <font>
      <sz val="10"/>
      <color theme="1"/>
      <name val="Arial"/>
      <family val="2"/>
      <charset val="204"/>
      <scheme val="minor"/>
    </font>
    <font>
      <sz val="12"/>
      <color rgb="FF000000"/>
      <name val="Calibr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DEBF7"/>
        <bgColor rgb="FFDDEBF7"/>
      </patternFill>
    </fill>
    <fill>
      <patternFill patternType="none">
        <fgColor auto="1"/>
        <bgColor auto="1"/>
      </patternFill>
    </fill>
    <fill>
      <patternFill patternType="solid">
        <fgColor indexed="65"/>
      </patternFill>
    </fill>
    <fill>
      <patternFill patternType="solid">
        <fgColor rgb="FFBDD7EE"/>
        <bgColor rgb="FFBDD7EE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0"/>
        <bgColor rgb="FFDDEBF7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1" fillId="0" borderId="0" xfId="0" applyFont="1" applyAlignment="1">
      <alignment wrapText="1"/>
    </xf>
    <xf numFmtId="0" fontId="3" fillId="2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4" fillId="3" borderId="0" xfId="0" applyFont="1" applyFill="1" applyAlignment="1">
      <alignment horizontal="center" wrapText="1"/>
    </xf>
    <xf numFmtId="0" fontId="4" fillId="3" borderId="0" xfId="0" applyFont="1" applyFill="1" applyAlignment="1">
      <alignment wrapText="1"/>
    </xf>
    <xf numFmtId="2" fontId="4" fillId="3" borderId="0" xfId="0" applyNumberFormat="1" applyFont="1" applyFill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4" xfId="0" applyFont="1" applyBorder="1" applyAlignment="1">
      <alignment wrapText="1"/>
    </xf>
    <xf numFmtId="0" fontId="1" fillId="0" borderId="4" xfId="0" applyFont="1" applyBorder="1" applyAlignment="1">
      <alignment horizontal="center" wrapText="1"/>
    </xf>
    <xf numFmtId="2" fontId="1" fillId="0" borderId="4" xfId="0" applyNumberFormat="1" applyFont="1" applyBorder="1" applyAlignment="1">
      <alignment horizontal="center" wrapText="1"/>
    </xf>
    <xf numFmtId="0" fontId="1" fillId="0" borderId="5" xfId="0" applyFont="1" applyBorder="1" applyAlignment="1">
      <alignment wrapText="1"/>
    </xf>
    <xf numFmtId="0" fontId="1" fillId="0" borderId="3" xfId="0" applyFont="1" applyBorder="1" applyAlignment="1">
      <alignment wrapText="1"/>
    </xf>
    <xf numFmtId="2" fontId="1" fillId="4" borderId="4" xfId="0" applyNumberFormat="1" applyFont="1" applyFill="1" applyBorder="1" applyAlignment="1">
      <alignment horizontal="center" wrapText="1"/>
    </xf>
    <xf numFmtId="0" fontId="1" fillId="5" borderId="4" xfId="0" applyFont="1" applyFill="1" applyBorder="1" applyAlignment="1">
      <alignment wrapText="1"/>
    </xf>
    <xf numFmtId="0" fontId="1" fillId="3" borderId="0" xfId="0" applyFont="1" applyFill="1" applyAlignment="1">
      <alignment horizontal="center" wrapText="1"/>
    </xf>
    <xf numFmtId="0" fontId="1" fillId="3" borderId="0" xfId="0" applyFont="1" applyFill="1" applyAlignment="1">
      <alignment wrapText="1"/>
    </xf>
    <xf numFmtId="0" fontId="1" fillId="0" borderId="1" xfId="0" applyFont="1" applyBorder="1" applyAlignment="1">
      <alignment horizontal="right" wrapText="1"/>
    </xf>
    <xf numFmtId="2" fontId="1" fillId="0" borderId="2" xfId="0" applyNumberFormat="1" applyFont="1" applyBorder="1" applyAlignment="1">
      <alignment horizontal="center" wrapText="1"/>
    </xf>
    <xf numFmtId="0" fontId="1" fillId="0" borderId="3" xfId="0" applyFont="1" applyBorder="1" applyAlignment="1">
      <alignment horizontal="right" wrapText="1"/>
    </xf>
    <xf numFmtId="0" fontId="1" fillId="0" borderId="0" xfId="0" applyFont="1" applyAlignment="1">
      <alignment horizontal="right" wrapText="1"/>
    </xf>
    <xf numFmtId="0" fontId="0" fillId="0" borderId="1" xfId="0" applyBorder="1" applyAlignment="1">
      <alignment horizontal="center" wrapText="1"/>
    </xf>
    <xf numFmtId="0" fontId="0" fillId="0" borderId="1" xfId="0" quotePrefix="1" applyBorder="1" applyAlignment="1">
      <alignment wrapText="1"/>
    </xf>
    <xf numFmtId="0" fontId="7" fillId="0" borderId="0" xfId="0" applyFont="1"/>
    <xf numFmtId="0" fontId="6" fillId="0" borderId="1" xfId="0" applyFont="1" applyBorder="1" applyAlignment="1">
      <alignment wrapText="1"/>
    </xf>
    <xf numFmtId="0" fontId="1" fillId="0" borderId="1" xfId="0" applyFont="1" applyBorder="1" applyAlignment="1">
      <alignment wrapText="1"/>
    </xf>
    <xf numFmtId="0" fontId="1" fillId="0" borderId="6" xfId="0" applyFont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4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center" wrapText="1"/>
    </xf>
    <xf numFmtId="0" fontId="1" fillId="0" borderId="7" xfId="0" applyFont="1" applyBorder="1" applyAlignment="1">
      <alignment wrapText="1"/>
    </xf>
    <xf numFmtId="2" fontId="4" fillId="3" borderId="1" xfId="0" applyNumberFormat="1" applyFont="1" applyFill="1" applyBorder="1" applyAlignment="1">
      <alignment horizontal="center" wrapText="1"/>
    </xf>
    <xf numFmtId="2" fontId="4" fillId="0" borderId="1" xfId="0" applyNumberFormat="1" applyFont="1" applyBorder="1" applyAlignment="1">
      <alignment horizontal="center" wrapText="1"/>
    </xf>
    <xf numFmtId="2" fontId="1" fillId="0" borderId="1" xfId="0" applyNumberFormat="1" applyFont="1" applyBorder="1" applyAlignment="1">
      <alignment horizontal="center" wrapText="1"/>
    </xf>
    <xf numFmtId="0" fontId="4" fillId="3" borderId="1" xfId="0" applyFont="1" applyFill="1" applyBorder="1" applyAlignment="1">
      <alignment horizontal="center" wrapText="1"/>
    </xf>
    <xf numFmtId="0" fontId="1" fillId="0" borderId="0" xfId="0" applyFont="1" applyAlignment="1">
      <alignment horizontal="center" wrapText="1"/>
    </xf>
    <xf numFmtId="0" fontId="4" fillId="6" borderId="1" xfId="0" applyFont="1" applyFill="1" applyBorder="1" applyAlignment="1">
      <alignment wrapText="1"/>
    </xf>
    <xf numFmtId="0" fontId="4" fillId="6" borderId="1" xfId="0" applyFont="1" applyFill="1" applyBorder="1" applyAlignment="1">
      <alignment horizontal="center" wrapText="1"/>
    </xf>
    <xf numFmtId="2" fontId="4" fillId="6" borderId="1" xfId="0" applyNumberFormat="1" applyFont="1" applyFill="1" applyBorder="1" applyAlignment="1">
      <alignment horizontal="center" wrapText="1"/>
    </xf>
    <xf numFmtId="0" fontId="4" fillId="8" borderId="1" xfId="0" applyFont="1" applyFill="1" applyBorder="1" applyAlignment="1">
      <alignment horizontal="center" wrapText="1"/>
    </xf>
    <xf numFmtId="0" fontId="4" fillId="3" borderId="8" xfId="0" applyFont="1" applyFill="1" applyBorder="1" applyAlignment="1">
      <alignment horizontal="center" wrapText="1"/>
    </xf>
    <xf numFmtId="0" fontId="1" fillId="4" borderId="2" xfId="0" applyFont="1" applyFill="1" applyBorder="1" applyAlignment="1">
      <alignment horizontal="center" wrapText="1"/>
    </xf>
    <xf numFmtId="0" fontId="4" fillId="3" borderId="0" xfId="0" applyFont="1" applyFill="1" applyAlignment="1">
      <alignment wrapText="1"/>
    </xf>
    <xf numFmtId="0" fontId="4" fillId="3" borderId="5" xfId="0" applyFont="1" applyFill="1" applyBorder="1" applyAlignment="1">
      <alignment horizontal="left" wrapText="1"/>
    </xf>
    <xf numFmtId="0" fontId="5" fillId="7" borderId="5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wrapText="1"/>
    </xf>
    <xf numFmtId="2" fontId="8" fillId="0" borderId="1" xfId="0" applyNumberFormat="1" applyFont="1" applyBorder="1" applyAlignment="1">
      <alignment horizontal="center" vertical="center"/>
    </xf>
    <xf numFmtId="0" fontId="6" fillId="0" borderId="0" xfId="0" applyFont="1"/>
    <xf numFmtId="0" fontId="6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/>
    <xf numFmtId="2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vertical="top" wrapText="1"/>
    </xf>
    <xf numFmtId="0" fontId="6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343"/>
  <sheetViews>
    <sheetView tabSelected="1" zoomScaleNormal="100" workbookViewId="0">
      <selection activeCell="L15" sqref="L15"/>
    </sheetView>
  </sheetViews>
  <sheetFormatPr defaultColWidth="12.5703125" defaultRowHeight="15.75" customHeight="1" x14ac:dyDescent="0.2"/>
  <cols>
    <col min="1" max="1" width="5.140625" customWidth="1"/>
    <col min="2" max="2" width="35.42578125" customWidth="1"/>
    <col min="3" max="3" width="13.42578125" customWidth="1"/>
    <col min="4" max="4" width="52.85546875" customWidth="1"/>
    <col min="5" max="5" width="12.140625" customWidth="1"/>
    <col min="6" max="6" width="66.5703125" customWidth="1"/>
    <col min="7" max="7" width="16" customWidth="1"/>
    <col min="9" max="9" width="14.140625" customWidth="1"/>
  </cols>
  <sheetData>
    <row r="1" spans="1:26" ht="15.75" customHeight="1" x14ac:dyDescent="0.25">
      <c r="A1" s="1"/>
      <c r="B1" s="2"/>
      <c r="C1" s="3"/>
      <c r="D1" s="2"/>
      <c r="E1" s="3"/>
      <c r="F1" s="2"/>
      <c r="G1" s="2"/>
      <c r="H1" s="3"/>
      <c r="I1" s="3"/>
    </row>
    <row r="2" spans="1:26" ht="32.25" customHeight="1" x14ac:dyDescent="0.25">
      <c r="A2" s="1"/>
      <c r="B2" s="4" t="s">
        <v>0</v>
      </c>
      <c r="C2" s="3"/>
      <c r="D2" s="5"/>
      <c r="E2" s="3"/>
      <c r="F2" s="2"/>
      <c r="G2" s="2"/>
      <c r="H2" s="3"/>
      <c r="I2" s="3"/>
    </row>
    <row r="3" spans="1:26" ht="15.75" customHeight="1" x14ac:dyDescent="0.25">
      <c r="A3" s="1"/>
      <c r="B3" s="4" t="s">
        <v>1</v>
      </c>
      <c r="C3" s="3"/>
      <c r="D3" s="2" t="s">
        <v>2</v>
      </c>
      <c r="E3" s="3"/>
      <c r="F3" s="2"/>
      <c r="G3" s="2"/>
      <c r="H3" s="3"/>
      <c r="I3" s="3"/>
    </row>
    <row r="4" spans="1:26" ht="15.75" customHeight="1" x14ac:dyDescent="0.25">
      <c r="A4" s="1"/>
      <c r="B4" s="2"/>
      <c r="C4" s="3"/>
      <c r="D4" s="2"/>
      <c r="E4" s="3"/>
      <c r="F4" s="2"/>
      <c r="G4" s="2"/>
      <c r="H4" s="3"/>
      <c r="I4" s="3"/>
    </row>
    <row r="5" spans="1:26" ht="64.5" customHeight="1" x14ac:dyDescent="0.25">
      <c r="A5" s="6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  <c r="H5" s="6" t="s">
        <v>10</v>
      </c>
      <c r="I5" s="6" t="s">
        <v>11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.75" customHeight="1" x14ac:dyDescent="0.25">
      <c r="A6" s="1"/>
      <c r="B6" s="2"/>
      <c r="C6" s="3"/>
      <c r="D6" s="2"/>
      <c r="E6" s="3"/>
      <c r="F6" s="2"/>
      <c r="G6" s="2"/>
      <c r="H6" s="3"/>
      <c r="I6" s="3"/>
    </row>
    <row r="7" spans="1:26" ht="17.25" customHeight="1" x14ac:dyDescent="0.25">
      <c r="A7" s="8" t="s">
        <v>12</v>
      </c>
      <c r="B7" s="50" t="s">
        <v>124</v>
      </c>
      <c r="C7" s="50"/>
      <c r="D7" s="50"/>
      <c r="E7" s="8"/>
      <c r="F7" s="9"/>
      <c r="G7" s="9"/>
      <c r="H7" s="8"/>
      <c r="I7" s="10">
        <f>SUM(I9:I42)</f>
        <v>6</v>
      </c>
    </row>
    <row r="8" spans="1:26" x14ac:dyDescent="0.25">
      <c r="A8" s="11">
        <v>1</v>
      </c>
      <c r="B8" s="12" t="s">
        <v>13</v>
      </c>
      <c r="C8" s="13"/>
      <c r="D8" s="12"/>
      <c r="E8" s="13"/>
      <c r="F8" s="12"/>
      <c r="G8" s="12"/>
      <c r="H8" s="13"/>
      <c r="I8" s="13"/>
    </row>
    <row r="9" spans="1:26" x14ac:dyDescent="0.25">
      <c r="A9" s="14"/>
      <c r="B9" s="15"/>
      <c r="C9" s="16" t="s">
        <v>14</v>
      </c>
      <c r="D9" s="15" t="s">
        <v>15</v>
      </c>
      <c r="E9" s="16"/>
      <c r="F9" s="15" t="s">
        <v>16</v>
      </c>
      <c r="G9" s="15"/>
      <c r="H9" s="16">
        <v>1</v>
      </c>
      <c r="I9" s="17">
        <v>0.1</v>
      </c>
    </row>
    <row r="10" spans="1:26" x14ac:dyDescent="0.25">
      <c r="A10" s="14"/>
      <c r="B10" s="15"/>
      <c r="C10" s="16" t="s">
        <v>14</v>
      </c>
      <c r="D10" s="15" t="s">
        <v>253</v>
      </c>
      <c r="E10" s="16"/>
      <c r="F10" s="15" t="s">
        <v>16</v>
      </c>
      <c r="G10" s="15"/>
      <c r="H10" s="16">
        <v>1</v>
      </c>
      <c r="I10" s="17">
        <v>0.1</v>
      </c>
    </row>
    <row r="11" spans="1:26" x14ac:dyDescent="0.25">
      <c r="A11" s="14">
        <v>2</v>
      </c>
      <c r="B11" s="15" t="s">
        <v>17</v>
      </c>
      <c r="C11" s="16"/>
      <c r="D11" s="15"/>
      <c r="E11" s="16"/>
      <c r="F11" s="15"/>
      <c r="G11" s="15"/>
      <c r="H11" s="16"/>
      <c r="I11" s="17"/>
    </row>
    <row r="12" spans="1:26" x14ac:dyDescent="0.25">
      <c r="A12" s="14"/>
      <c r="B12" s="15"/>
      <c r="C12" s="16" t="s">
        <v>18</v>
      </c>
      <c r="D12" s="15" t="s">
        <v>19</v>
      </c>
      <c r="E12" s="16"/>
      <c r="F12" s="15"/>
      <c r="G12" s="15"/>
      <c r="H12" s="16">
        <v>1</v>
      </c>
      <c r="I12" s="17">
        <v>0.3</v>
      </c>
    </row>
    <row r="13" spans="1:26" x14ac:dyDescent="0.25">
      <c r="A13" s="14"/>
      <c r="B13" s="15"/>
      <c r="C13" s="16"/>
      <c r="D13" s="15"/>
      <c r="E13" s="16">
        <v>0</v>
      </c>
      <c r="F13" s="15" t="s">
        <v>20</v>
      </c>
      <c r="G13" s="15"/>
      <c r="H13" s="16"/>
      <c r="I13" s="17"/>
    </row>
    <row r="14" spans="1:26" x14ac:dyDescent="0.25">
      <c r="A14" s="14"/>
      <c r="B14" s="15"/>
      <c r="C14" s="16"/>
      <c r="D14" s="15"/>
      <c r="E14" s="16">
        <v>1</v>
      </c>
      <c r="F14" s="15" t="s">
        <v>21</v>
      </c>
      <c r="G14" s="15"/>
      <c r="H14" s="16"/>
      <c r="I14" s="17"/>
    </row>
    <row r="15" spans="1:26" x14ac:dyDescent="0.25">
      <c r="A15" s="14"/>
      <c r="B15" s="15"/>
      <c r="C15" s="16"/>
      <c r="D15" s="15"/>
      <c r="E15" s="16">
        <v>2</v>
      </c>
      <c r="F15" s="15" t="s">
        <v>22</v>
      </c>
      <c r="G15" s="15"/>
      <c r="H15" s="16"/>
      <c r="I15" s="17"/>
    </row>
    <row r="16" spans="1:26" ht="31.5" x14ac:dyDescent="0.25">
      <c r="A16" s="14"/>
      <c r="B16" s="15"/>
      <c r="C16" s="16"/>
      <c r="D16" s="15"/>
      <c r="E16" s="16">
        <v>3</v>
      </c>
      <c r="F16" s="15" t="s">
        <v>23</v>
      </c>
      <c r="G16" s="15"/>
      <c r="H16" s="16"/>
      <c r="I16" s="17"/>
    </row>
    <row r="17" spans="1:9" x14ac:dyDescent="0.25">
      <c r="A17" s="14"/>
      <c r="B17" s="18"/>
      <c r="C17" s="14" t="s">
        <v>18</v>
      </c>
      <c r="D17" s="15" t="s">
        <v>24</v>
      </c>
      <c r="E17" s="16"/>
      <c r="F17" s="15"/>
      <c r="G17" s="15"/>
      <c r="H17" s="16">
        <v>1</v>
      </c>
      <c r="I17" s="17">
        <v>0.3</v>
      </c>
    </row>
    <row r="18" spans="1:9" x14ac:dyDescent="0.25">
      <c r="A18" s="14"/>
      <c r="B18" s="15"/>
      <c r="C18" s="16"/>
      <c r="D18" s="15"/>
      <c r="E18" s="16">
        <v>0</v>
      </c>
      <c r="F18" s="15" t="s">
        <v>25</v>
      </c>
      <c r="G18" s="15"/>
      <c r="H18" s="16"/>
      <c r="I18" s="17"/>
    </row>
    <row r="19" spans="1:9" x14ac:dyDescent="0.25">
      <c r="A19" s="14"/>
      <c r="B19" s="15"/>
      <c r="C19" s="16"/>
      <c r="D19" s="15"/>
      <c r="E19" s="16">
        <v>1</v>
      </c>
      <c r="F19" s="15" t="s">
        <v>26</v>
      </c>
      <c r="G19" s="15"/>
      <c r="H19" s="16"/>
      <c r="I19" s="17"/>
    </row>
    <row r="20" spans="1:9" ht="31.5" x14ac:dyDescent="0.25">
      <c r="A20" s="14"/>
      <c r="B20" s="15"/>
      <c r="C20" s="16"/>
      <c r="D20" s="15"/>
      <c r="E20" s="16">
        <v>2</v>
      </c>
      <c r="F20" s="15" t="s">
        <v>125</v>
      </c>
      <c r="G20" s="15"/>
      <c r="H20" s="16"/>
      <c r="I20" s="17"/>
    </row>
    <row r="21" spans="1:9" ht="31.5" x14ac:dyDescent="0.25">
      <c r="A21" s="14"/>
      <c r="B21" s="15"/>
      <c r="C21" s="16"/>
      <c r="D21" s="15"/>
      <c r="E21" s="16">
        <v>3</v>
      </c>
      <c r="F21" s="15" t="s">
        <v>126</v>
      </c>
      <c r="G21" s="15"/>
      <c r="H21" s="16"/>
      <c r="I21" s="17"/>
    </row>
    <row r="22" spans="1:9" x14ac:dyDescent="0.25">
      <c r="A22" s="14">
        <v>3</v>
      </c>
      <c r="B22" s="15" t="s">
        <v>27</v>
      </c>
      <c r="C22" s="16" t="s">
        <v>18</v>
      </c>
      <c r="D22" s="15" t="s">
        <v>28</v>
      </c>
      <c r="E22" s="15"/>
      <c r="F22" s="15"/>
      <c r="G22" s="15"/>
      <c r="H22" s="16">
        <v>1</v>
      </c>
      <c r="I22" s="17">
        <v>0.25</v>
      </c>
    </row>
    <row r="23" spans="1:9" x14ac:dyDescent="0.25">
      <c r="A23" s="14"/>
      <c r="B23" s="15"/>
      <c r="C23" s="16"/>
      <c r="D23" s="15"/>
      <c r="E23" s="16">
        <v>0</v>
      </c>
      <c r="F23" s="15" t="s">
        <v>134</v>
      </c>
      <c r="G23" s="15"/>
      <c r="H23" s="16"/>
      <c r="I23" s="17"/>
    </row>
    <row r="24" spans="1:9" x14ac:dyDescent="0.25">
      <c r="A24" s="14"/>
      <c r="B24" s="15"/>
      <c r="C24" s="16"/>
      <c r="D24" s="15"/>
      <c r="E24" s="16">
        <v>1</v>
      </c>
      <c r="F24" s="15" t="s">
        <v>29</v>
      </c>
      <c r="G24" s="15"/>
      <c r="H24" s="16"/>
      <c r="I24" s="17"/>
    </row>
    <row r="25" spans="1:9" x14ac:dyDescent="0.25">
      <c r="A25" s="14"/>
      <c r="B25" s="15"/>
      <c r="C25" s="16"/>
      <c r="D25" s="15"/>
      <c r="E25" s="16">
        <v>2</v>
      </c>
      <c r="F25" s="15" t="s">
        <v>30</v>
      </c>
      <c r="G25" s="15"/>
      <c r="H25" s="16"/>
      <c r="I25" s="17"/>
    </row>
    <row r="26" spans="1:9" ht="31.5" x14ac:dyDescent="0.25">
      <c r="A26" s="14"/>
      <c r="B26" s="15"/>
      <c r="C26" s="16"/>
      <c r="D26" s="15"/>
      <c r="E26" s="16">
        <v>3</v>
      </c>
      <c r="F26" s="15" t="s">
        <v>31</v>
      </c>
      <c r="G26" s="15"/>
      <c r="H26" s="16"/>
      <c r="I26" s="17"/>
    </row>
    <row r="27" spans="1:9" x14ac:dyDescent="0.25">
      <c r="A27" s="14"/>
      <c r="B27" s="15"/>
      <c r="C27" s="16" t="s">
        <v>14</v>
      </c>
      <c r="D27" s="15" t="s">
        <v>32</v>
      </c>
      <c r="E27" s="15"/>
      <c r="F27" s="15" t="s">
        <v>16</v>
      </c>
      <c r="G27" s="15"/>
      <c r="H27" s="16">
        <v>1</v>
      </c>
      <c r="I27" s="17">
        <v>0.15</v>
      </c>
    </row>
    <row r="28" spans="1:9" ht="31.5" x14ac:dyDescent="0.25">
      <c r="A28" s="14">
        <v>4</v>
      </c>
      <c r="B28" s="15" t="s">
        <v>140</v>
      </c>
      <c r="C28" s="16" t="s">
        <v>18</v>
      </c>
      <c r="D28" s="15" t="s">
        <v>167</v>
      </c>
      <c r="E28" s="15"/>
      <c r="F28" s="15"/>
      <c r="G28" s="15"/>
      <c r="H28" s="16">
        <v>1</v>
      </c>
      <c r="I28" s="17">
        <v>1.65</v>
      </c>
    </row>
    <row r="29" spans="1:9" x14ac:dyDescent="0.25">
      <c r="A29" s="14"/>
      <c r="B29" s="15"/>
      <c r="C29" s="16"/>
      <c r="D29" s="15"/>
      <c r="E29" s="16">
        <v>0</v>
      </c>
      <c r="F29" s="15" t="s">
        <v>127</v>
      </c>
      <c r="G29" s="15"/>
      <c r="H29" s="16"/>
      <c r="I29" s="17"/>
    </row>
    <row r="30" spans="1:9" ht="63" x14ac:dyDescent="0.25">
      <c r="A30" s="14"/>
      <c r="B30" s="15"/>
      <c r="C30" s="16"/>
      <c r="D30" s="15"/>
      <c r="E30" s="16">
        <v>1</v>
      </c>
      <c r="F30" s="15" t="s">
        <v>128</v>
      </c>
      <c r="G30" s="15"/>
      <c r="H30" s="16"/>
      <c r="I30" s="17"/>
    </row>
    <row r="31" spans="1:9" ht="94.5" x14ac:dyDescent="0.25">
      <c r="A31" s="14"/>
      <c r="B31" s="15"/>
      <c r="C31" s="16"/>
      <c r="D31" s="15"/>
      <c r="E31" s="16">
        <v>2</v>
      </c>
      <c r="F31" s="15" t="s">
        <v>132</v>
      </c>
      <c r="G31" s="15"/>
      <c r="H31" s="16"/>
      <c r="I31" s="17"/>
    </row>
    <row r="32" spans="1:9" ht="94.5" x14ac:dyDescent="0.25">
      <c r="A32" s="14"/>
      <c r="B32" s="15"/>
      <c r="C32" s="16"/>
      <c r="D32" s="15"/>
      <c r="E32" s="16">
        <v>3</v>
      </c>
      <c r="F32" s="15" t="s">
        <v>133</v>
      </c>
      <c r="G32" s="15"/>
      <c r="H32" s="16"/>
      <c r="I32" s="17"/>
    </row>
    <row r="33" spans="1:9" x14ac:dyDescent="0.25">
      <c r="A33" s="14"/>
      <c r="B33" s="15"/>
      <c r="C33" s="16" t="s">
        <v>18</v>
      </c>
      <c r="D33" s="15" t="s">
        <v>168</v>
      </c>
      <c r="E33" s="15"/>
      <c r="F33" s="15"/>
      <c r="G33" s="15"/>
      <c r="H33" s="16">
        <v>1</v>
      </c>
      <c r="I33" s="17">
        <v>1.65</v>
      </c>
    </row>
    <row r="34" spans="1:9" x14ac:dyDescent="0.25">
      <c r="A34" s="14"/>
      <c r="B34" s="15"/>
      <c r="C34" s="16"/>
      <c r="D34" s="15"/>
      <c r="E34" s="16">
        <v>0</v>
      </c>
      <c r="F34" s="15" t="s">
        <v>127</v>
      </c>
      <c r="G34" s="15"/>
      <c r="H34" s="16"/>
      <c r="I34" s="17"/>
    </row>
    <row r="35" spans="1:9" ht="63" x14ac:dyDescent="0.25">
      <c r="A35" s="14"/>
      <c r="B35" s="15"/>
      <c r="C35" s="16"/>
      <c r="D35" s="15"/>
      <c r="E35" s="16">
        <v>1</v>
      </c>
      <c r="F35" s="15" t="s">
        <v>130</v>
      </c>
      <c r="G35" s="15"/>
      <c r="H35" s="16"/>
      <c r="I35" s="17"/>
    </row>
    <row r="36" spans="1:9" ht="94.5" x14ac:dyDescent="0.25">
      <c r="A36" s="14"/>
      <c r="B36" s="15"/>
      <c r="C36" s="16"/>
      <c r="D36" s="15"/>
      <c r="E36" s="16">
        <v>2</v>
      </c>
      <c r="F36" s="15" t="s">
        <v>129</v>
      </c>
      <c r="G36" s="15"/>
      <c r="H36" s="16"/>
      <c r="I36" s="17"/>
    </row>
    <row r="37" spans="1:9" ht="94.5" x14ac:dyDescent="0.25">
      <c r="A37" s="14"/>
      <c r="B37" s="15"/>
      <c r="C37" s="16"/>
      <c r="D37" s="15"/>
      <c r="E37" s="16">
        <v>3</v>
      </c>
      <c r="F37" s="15" t="s">
        <v>131</v>
      </c>
      <c r="G37" s="15"/>
      <c r="H37" s="16"/>
      <c r="I37" s="17"/>
    </row>
    <row r="38" spans="1:9" x14ac:dyDescent="0.25">
      <c r="A38" s="14"/>
      <c r="B38" s="15"/>
      <c r="C38" s="16" t="s">
        <v>18</v>
      </c>
      <c r="D38" s="15" t="s">
        <v>139</v>
      </c>
      <c r="E38" s="15"/>
      <c r="F38" s="15"/>
      <c r="G38" s="15"/>
      <c r="H38" s="16">
        <v>1</v>
      </c>
      <c r="I38" s="17">
        <v>1.5</v>
      </c>
    </row>
    <row r="39" spans="1:9" x14ac:dyDescent="0.25">
      <c r="A39" s="14"/>
      <c r="B39" s="15"/>
      <c r="C39" s="16"/>
      <c r="D39" s="15"/>
      <c r="E39" s="16">
        <v>0</v>
      </c>
      <c r="F39" s="15" t="s">
        <v>135</v>
      </c>
      <c r="G39" s="15"/>
      <c r="H39" s="16"/>
      <c r="I39" s="17"/>
    </row>
    <row r="40" spans="1:9" ht="94.5" x14ac:dyDescent="0.25">
      <c r="A40" s="14"/>
      <c r="B40" s="15"/>
      <c r="C40" s="16"/>
      <c r="D40" s="15"/>
      <c r="E40" s="16">
        <v>1</v>
      </c>
      <c r="F40" s="15" t="s">
        <v>136</v>
      </c>
      <c r="G40" s="15"/>
      <c r="H40" s="16"/>
      <c r="I40" s="17"/>
    </row>
    <row r="41" spans="1:9" ht="126" x14ac:dyDescent="0.25">
      <c r="A41" s="14"/>
      <c r="B41" s="15"/>
      <c r="C41" s="16"/>
      <c r="D41" s="15"/>
      <c r="E41" s="16">
        <v>2</v>
      </c>
      <c r="F41" s="15" t="s">
        <v>138</v>
      </c>
      <c r="G41" s="15"/>
      <c r="H41" s="16"/>
      <c r="I41" s="17"/>
    </row>
    <row r="42" spans="1:9" ht="94.5" x14ac:dyDescent="0.25">
      <c r="A42" s="19"/>
      <c r="B42" s="15"/>
      <c r="C42" s="16"/>
      <c r="D42" s="15"/>
      <c r="E42" s="16">
        <v>3</v>
      </c>
      <c r="F42" s="15" t="s">
        <v>137</v>
      </c>
      <c r="G42" s="15"/>
      <c r="H42" s="16"/>
      <c r="I42" s="17"/>
    </row>
    <row r="43" spans="1:9" x14ac:dyDescent="0.25">
      <c r="A43" s="8" t="s">
        <v>33</v>
      </c>
      <c r="B43" s="49" t="s">
        <v>34</v>
      </c>
      <c r="C43" s="56"/>
      <c r="D43" s="9"/>
      <c r="E43" s="8"/>
      <c r="F43" s="9"/>
      <c r="G43" s="9"/>
      <c r="H43" s="8"/>
      <c r="I43" s="10">
        <f>SUM(I45:I95)</f>
        <v>12.999999999999996</v>
      </c>
    </row>
    <row r="44" spans="1:9" x14ac:dyDescent="0.25">
      <c r="A44" s="11">
        <v>1</v>
      </c>
      <c r="B44" s="12" t="s">
        <v>35</v>
      </c>
      <c r="C44" s="13"/>
      <c r="D44" s="12"/>
      <c r="E44" s="13"/>
      <c r="F44" s="12"/>
      <c r="G44" s="12"/>
      <c r="H44" s="13"/>
      <c r="I44" s="13"/>
    </row>
    <row r="45" spans="1:9" x14ac:dyDescent="0.25">
      <c r="A45" s="14"/>
      <c r="B45" s="15"/>
      <c r="C45" s="16" t="s">
        <v>18</v>
      </c>
      <c r="D45" s="15" t="s">
        <v>36</v>
      </c>
      <c r="E45" s="16"/>
      <c r="F45" s="15"/>
      <c r="G45" s="15"/>
      <c r="H45" s="16">
        <v>2</v>
      </c>
      <c r="I45" s="17">
        <v>1.4</v>
      </c>
    </row>
    <row r="46" spans="1:9" x14ac:dyDescent="0.25">
      <c r="A46" s="14"/>
      <c r="B46" s="15"/>
      <c r="C46" s="16"/>
      <c r="D46" s="15"/>
      <c r="E46" s="16">
        <v>0</v>
      </c>
      <c r="F46" s="15" t="s">
        <v>37</v>
      </c>
      <c r="G46" s="15"/>
      <c r="H46" s="16"/>
      <c r="I46" s="17"/>
    </row>
    <row r="47" spans="1:9" x14ac:dyDescent="0.25">
      <c r="A47" s="14"/>
      <c r="B47" s="15"/>
      <c r="C47" s="16"/>
      <c r="D47" s="15"/>
      <c r="E47" s="16">
        <v>1</v>
      </c>
      <c r="F47" s="15" t="s">
        <v>38</v>
      </c>
      <c r="G47" s="15"/>
      <c r="H47" s="16"/>
      <c r="I47" s="17"/>
    </row>
    <row r="48" spans="1:9" x14ac:dyDescent="0.25">
      <c r="A48" s="14"/>
      <c r="B48" s="15"/>
      <c r="C48" s="16"/>
      <c r="D48" s="15"/>
      <c r="E48" s="16">
        <v>2</v>
      </c>
      <c r="F48" s="15" t="s">
        <v>39</v>
      </c>
      <c r="G48" s="15"/>
      <c r="H48" s="16"/>
      <c r="I48" s="17"/>
    </row>
    <row r="49" spans="1:9" ht="47.25" x14ac:dyDescent="0.25">
      <c r="A49" s="14"/>
      <c r="B49" s="15"/>
      <c r="C49" s="16"/>
      <c r="D49" s="15"/>
      <c r="E49" s="16">
        <v>3</v>
      </c>
      <c r="F49" s="15" t="s">
        <v>40</v>
      </c>
      <c r="G49" s="15"/>
      <c r="H49" s="16"/>
      <c r="I49" s="17"/>
    </row>
    <row r="50" spans="1:9" x14ac:dyDescent="0.25">
      <c r="A50" s="14"/>
      <c r="B50" s="15"/>
      <c r="C50" s="16" t="s">
        <v>18</v>
      </c>
      <c r="D50" s="15" t="s">
        <v>108</v>
      </c>
      <c r="E50" s="16"/>
      <c r="F50" s="15"/>
      <c r="G50" s="15"/>
      <c r="H50" s="16">
        <v>2</v>
      </c>
      <c r="I50" s="17">
        <v>1.4</v>
      </c>
    </row>
    <row r="51" spans="1:9" x14ac:dyDescent="0.25">
      <c r="A51" s="14"/>
      <c r="B51" s="15"/>
      <c r="C51" s="16"/>
      <c r="D51" s="15"/>
      <c r="E51" s="16">
        <v>0</v>
      </c>
      <c r="F51" s="15" t="s">
        <v>37</v>
      </c>
      <c r="G51" s="15"/>
      <c r="H51" s="16"/>
      <c r="I51" s="17"/>
    </row>
    <row r="52" spans="1:9" x14ac:dyDescent="0.25">
      <c r="A52" s="14"/>
      <c r="B52" s="15"/>
      <c r="C52" s="16"/>
      <c r="D52" s="15"/>
      <c r="E52" s="16">
        <v>1</v>
      </c>
      <c r="F52" s="15" t="s">
        <v>38</v>
      </c>
      <c r="G52" s="15"/>
      <c r="H52" s="16"/>
      <c r="I52" s="17"/>
    </row>
    <row r="53" spans="1:9" x14ac:dyDescent="0.25">
      <c r="A53" s="14"/>
      <c r="B53" s="15"/>
      <c r="C53" s="16"/>
      <c r="D53" s="15"/>
      <c r="E53" s="16">
        <v>2</v>
      </c>
      <c r="F53" s="15" t="s">
        <v>39</v>
      </c>
      <c r="G53" s="15"/>
      <c r="H53" s="16"/>
      <c r="I53" s="17"/>
    </row>
    <row r="54" spans="1:9" ht="31.5" x14ac:dyDescent="0.25">
      <c r="A54" s="14"/>
      <c r="B54" s="15"/>
      <c r="C54" s="16"/>
      <c r="D54" s="15"/>
      <c r="E54" s="16">
        <v>3</v>
      </c>
      <c r="F54" s="15" t="s">
        <v>41</v>
      </c>
      <c r="G54" s="15"/>
      <c r="H54" s="16"/>
      <c r="I54" s="17"/>
    </row>
    <row r="55" spans="1:9" x14ac:dyDescent="0.25">
      <c r="A55" s="14"/>
      <c r="B55" s="15"/>
      <c r="C55" s="16" t="s">
        <v>18</v>
      </c>
      <c r="D55" s="15" t="s">
        <v>109</v>
      </c>
      <c r="E55" s="16"/>
      <c r="F55" s="15"/>
      <c r="G55" s="15"/>
      <c r="H55" s="16">
        <v>2</v>
      </c>
      <c r="I55" s="17">
        <v>1.4</v>
      </c>
    </row>
    <row r="56" spans="1:9" x14ac:dyDescent="0.25">
      <c r="A56" s="14"/>
      <c r="B56" s="15"/>
      <c r="C56" s="16"/>
      <c r="D56" s="15"/>
      <c r="E56" s="16">
        <v>0</v>
      </c>
      <c r="F56" s="15" t="s">
        <v>37</v>
      </c>
      <c r="G56" s="15"/>
      <c r="H56" s="16"/>
      <c r="I56" s="17"/>
    </row>
    <row r="57" spans="1:9" x14ac:dyDescent="0.25">
      <c r="A57" s="14"/>
      <c r="B57" s="15"/>
      <c r="C57" s="16"/>
      <c r="D57" s="15"/>
      <c r="E57" s="16">
        <v>1</v>
      </c>
      <c r="F57" s="15" t="s">
        <v>38</v>
      </c>
      <c r="G57" s="15"/>
      <c r="H57" s="16"/>
      <c r="I57" s="17"/>
    </row>
    <row r="58" spans="1:9" x14ac:dyDescent="0.25">
      <c r="A58" s="14"/>
      <c r="B58" s="15"/>
      <c r="C58" s="16"/>
      <c r="D58" s="15"/>
      <c r="E58" s="16">
        <v>2</v>
      </c>
      <c r="F58" s="15" t="s">
        <v>39</v>
      </c>
      <c r="G58" s="15"/>
      <c r="H58" s="16"/>
      <c r="I58" s="17"/>
    </row>
    <row r="59" spans="1:9" ht="31.5" x14ac:dyDescent="0.25">
      <c r="A59" s="14"/>
      <c r="B59" s="15"/>
      <c r="C59" s="16"/>
      <c r="D59" s="15"/>
      <c r="E59" s="16">
        <v>3</v>
      </c>
      <c r="F59" s="15" t="s">
        <v>41</v>
      </c>
      <c r="G59" s="15"/>
      <c r="H59" s="16"/>
      <c r="I59" s="17"/>
    </row>
    <row r="60" spans="1:9" x14ac:dyDescent="0.25">
      <c r="A60" s="14"/>
      <c r="B60" s="15"/>
      <c r="C60" s="16" t="s">
        <v>18</v>
      </c>
      <c r="D60" s="15" t="s">
        <v>42</v>
      </c>
      <c r="E60" s="16"/>
      <c r="F60" s="15"/>
      <c r="G60" s="15"/>
      <c r="H60" s="16">
        <v>2</v>
      </c>
      <c r="I60" s="17">
        <v>1.4</v>
      </c>
    </row>
    <row r="61" spans="1:9" x14ac:dyDescent="0.25">
      <c r="A61" s="14"/>
      <c r="B61" s="15"/>
      <c r="C61" s="16"/>
      <c r="D61" s="15"/>
      <c r="E61" s="16">
        <v>0</v>
      </c>
      <c r="F61" s="15" t="s">
        <v>37</v>
      </c>
      <c r="G61" s="15"/>
      <c r="H61" s="16"/>
      <c r="I61" s="17"/>
    </row>
    <row r="62" spans="1:9" x14ac:dyDescent="0.25">
      <c r="A62" s="14"/>
      <c r="B62" s="15"/>
      <c r="C62" s="16"/>
      <c r="D62" s="15"/>
      <c r="E62" s="16">
        <v>1</v>
      </c>
      <c r="F62" s="15" t="s">
        <v>38</v>
      </c>
      <c r="G62" s="15"/>
      <c r="H62" s="16"/>
      <c r="I62" s="17"/>
    </row>
    <row r="63" spans="1:9" x14ac:dyDescent="0.25">
      <c r="A63" s="14"/>
      <c r="B63" s="15"/>
      <c r="C63" s="16"/>
      <c r="D63" s="15"/>
      <c r="E63" s="16">
        <v>2</v>
      </c>
      <c r="F63" s="15" t="s">
        <v>43</v>
      </c>
      <c r="G63" s="15"/>
      <c r="H63" s="16"/>
      <c r="I63" s="17"/>
    </row>
    <row r="64" spans="1:9" ht="31.5" x14ac:dyDescent="0.25">
      <c r="A64" s="14"/>
      <c r="B64" s="15"/>
      <c r="C64" s="16"/>
      <c r="D64" s="15"/>
      <c r="E64" s="16">
        <v>3</v>
      </c>
      <c r="F64" s="15" t="s">
        <v>41</v>
      </c>
      <c r="G64" s="15"/>
      <c r="H64" s="16"/>
      <c r="I64" s="17"/>
    </row>
    <row r="65" spans="1:9" x14ac:dyDescent="0.25">
      <c r="A65" s="14"/>
      <c r="B65" s="15"/>
      <c r="C65" s="16" t="s">
        <v>18</v>
      </c>
      <c r="D65" s="15" t="s">
        <v>44</v>
      </c>
      <c r="E65" s="16"/>
      <c r="F65" s="15"/>
      <c r="G65" s="15"/>
      <c r="H65" s="16">
        <v>2</v>
      </c>
      <c r="I65" s="17">
        <v>1.4</v>
      </c>
    </row>
    <row r="66" spans="1:9" x14ac:dyDescent="0.25">
      <c r="A66" s="14"/>
      <c r="B66" s="15"/>
      <c r="C66" s="16"/>
      <c r="D66" s="15"/>
      <c r="E66" s="16">
        <v>0</v>
      </c>
      <c r="F66" s="15" t="s">
        <v>37</v>
      </c>
      <c r="G66" s="15"/>
      <c r="H66" s="16"/>
      <c r="I66" s="17"/>
    </row>
    <row r="67" spans="1:9" x14ac:dyDescent="0.25">
      <c r="A67" s="14"/>
      <c r="B67" s="15"/>
      <c r="C67" s="16"/>
      <c r="D67" s="15"/>
      <c r="E67" s="16">
        <v>1</v>
      </c>
      <c r="F67" s="15" t="s">
        <v>38</v>
      </c>
      <c r="G67" s="15"/>
      <c r="H67" s="16"/>
      <c r="I67" s="17"/>
    </row>
    <row r="68" spans="1:9" x14ac:dyDescent="0.25">
      <c r="A68" s="14"/>
      <c r="B68" s="15"/>
      <c r="C68" s="16"/>
      <c r="D68" s="15"/>
      <c r="E68" s="16">
        <v>2</v>
      </c>
      <c r="F68" s="15" t="s">
        <v>43</v>
      </c>
      <c r="G68" s="15"/>
      <c r="H68" s="16"/>
      <c r="I68" s="17"/>
    </row>
    <row r="69" spans="1:9" ht="31.5" x14ac:dyDescent="0.25">
      <c r="A69" s="14"/>
      <c r="B69" s="15"/>
      <c r="C69" s="16"/>
      <c r="D69" s="15"/>
      <c r="E69" s="16">
        <v>3</v>
      </c>
      <c r="F69" s="15" t="s">
        <v>41</v>
      </c>
      <c r="G69" s="15"/>
      <c r="H69" s="16"/>
      <c r="I69" s="17"/>
    </row>
    <row r="70" spans="1:9" x14ac:dyDescent="0.25">
      <c r="A70" s="14"/>
      <c r="B70" s="15"/>
      <c r="C70" s="16" t="s">
        <v>18</v>
      </c>
      <c r="D70" s="15" t="s">
        <v>166</v>
      </c>
      <c r="E70" s="16"/>
      <c r="F70" s="15"/>
      <c r="G70" s="15"/>
      <c r="H70" s="16">
        <v>2</v>
      </c>
      <c r="I70" s="17">
        <v>1.4</v>
      </c>
    </row>
    <row r="71" spans="1:9" x14ac:dyDescent="0.25">
      <c r="A71" s="14"/>
      <c r="B71" s="15"/>
      <c r="C71" s="16"/>
      <c r="D71" s="15"/>
      <c r="E71" s="16">
        <v>0</v>
      </c>
      <c r="F71" s="15" t="s">
        <v>37</v>
      </c>
      <c r="G71" s="15"/>
      <c r="H71" s="16"/>
      <c r="I71" s="17"/>
    </row>
    <row r="72" spans="1:9" x14ac:dyDescent="0.25">
      <c r="A72" s="14"/>
      <c r="B72" s="15"/>
      <c r="C72" s="16"/>
      <c r="D72" s="15"/>
      <c r="E72" s="16">
        <v>1</v>
      </c>
      <c r="F72" s="15" t="s">
        <v>38</v>
      </c>
      <c r="G72" s="15"/>
      <c r="H72" s="16"/>
      <c r="I72" s="17"/>
    </row>
    <row r="73" spans="1:9" x14ac:dyDescent="0.25">
      <c r="A73" s="14"/>
      <c r="B73" s="15"/>
      <c r="C73" s="16"/>
      <c r="D73" s="15"/>
      <c r="E73" s="16">
        <v>2</v>
      </c>
      <c r="F73" s="15" t="s">
        <v>43</v>
      </c>
      <c r="G73" s="15"/>
      <c r="H73" s="16"/>
      <c r="I73" s="17"/>
    </row>
    <row r="74" spans="1:9" ht="31.5" x14ac:dyDescent="0.25">
      <c r="A74" s="14"/>
      <c r="B74" s="15"/>
      <c r="C74" s="16"/>
      <c r="D74" s="15"/>
      <c r="E74" s="16">
        <v>3</v>
      </c>
      <c r="F74" s="15" t="s">
        <v>41</v>
      </c>
      <c r="G74" s="15"/>
      <c r="H74" s="16"/>
      <c r="I74" s="17"/>
    </row>
    <row r="75" spans="1:9" x14ac:dyDescent="0.25">
      <c r="A75" s="14"/>
      <c r="B75" s="15"/>
      <c r="C75" s="16" t="s">
        <v>18</v>
      </c>
      <c r="D75" s="15" t="s">
        <v>45</v>
      </c>
      <c r="E75" s="16"/>
      <c r="F75" s="15"/>
      <c r="G75" s="15"/>
      <c r="H75" s="16">
        <v>2</v>
      </c>
      <c r="I75" s="17">
        <v>1.4</v>
      </c>
    </row>
    <row r="76" spans="1:9" x14ac:dyDescent="0.25">
      <c r="A76" s="14"/>
      <c r="B76" s="15"/>
      <c r="C76" s="16"/>
      <c r="D76" s="15"/>
      <c r="E76" s="16">
        <v>0</v>
      </c>
      <c r="F76" s="15" t="s">
        <v>37</v>
      </c>
      <c r="G76" s="15"/>
      <c r="H76" s="16"/>
      <c r="I76" s="17"/>
    </row>
    <row r="77" spans="1:9" x14ac:dyDescent="0.25">
      <c r="A77" s="14"/>
      <c r="B77" s="15"/>
      <c r="C77" s="16"/>
      <c r="D77" s="15"/>
      <c r="E77" s="16">
        <v>1</v>
      </c>
      <c r="F77" s="15" t="s">
        <v>38</v>
      </c>
      <c r="G77" s="15"/>
      <c r="H77" s="16"/>
      <c r="I77" s="17"/>
    </row>
    <row r="78" spans="1:9" x14ac:dyDescent="0.25">
      <c r="A78" s="14"/>
      <c r="B78" s="15"/>
      <c r="C78" s="16"/>
      <c r="D78" s="15"/>
      <c r="E78" s="16">
        <v>2</v>
      </c>
      <c r="F78" s="15" t="s">
        <v>43</v>
      </c>
      <c r="G78" s="15"/>
      <c r="H78" s="16"/>
      <c r="I78" s="17"/>
    </row>
    <row r="79" spans="1:9" ht="31.5" x14ac:dyDescent="0.25">
      <c r="A79" s="14"/>
      <c r="B79" s="15"/>
      <c r="C79" s="16"/>
      <c r="D79" s="15"/>
      <c r="E79" s="16">
        <v>3</v>
      </c>
      <c r="F79" s="15" t="s">
        <v>41</v>
      </c>
      <c r="G79" s="15"/>
      <c r="H79" s="16"/>
      <c r="I79" s="17"/>
    </row>
    <row r="80" spans="1:9" x14ac:dyDescent="0.25">
      <c r="A80" s="14"/>
      <c r="B80" s="15"/>
      <c r="C80" s="16" t="s">
        <v>18</v>
      </c>
      <c r="D80" s="15" t="s">
        <v>46</v>
      </c>
      <c r="E80" s="16"/>
      <c r="F80" s="15"/>
      <c r="G80" s="15"/>
      <c r="H80" s="16">
        <v>2</v>
      </c>
      <c r="I80" s="17">
        <v>1.2</v>
      </c>
    </row>
    <row r="81" spans="1:9" x14ac:dyDescent="0.25">
      <c r="A81" s="14"/>
      <c r="B81" s="15"/>
      <c r="C81" s="16"/>
      <c r="D81" s="15"/>
      <c r="E81" s="16">
        <v>0</v>
      </c>
      <c r="F81" s="15" t="s">
        <v>37</v>
      </c>
      <c r="G81" s="15"/>
      <c r="H81" s="16"/>
      <c r="I81" s="17"/>
    </row>
    <row r="82" spans="1:9" x14ac:dyDescent="0.25">
      <c r="A82" s="14"/>
      <c r="B82" s="15"/>
      <c r="C82" s="16"/>
      <c r="D82" s="15"/>
      <c r="E82" s="16">
        <v>1</v>
      </c>
      <c r="F82" s="15" t="s">
        <v>38</v>
      </c>
      <c r="G82" s="15"/>
      <c r="H82" s="16"/>
      <c r="I82" s="17"/>
    </row>
    <row r="83" spans="1:9" x14ac:dyDescent="0.25">
      <c r="A83" s="14"/>
      <c r="B83" s="15"/>
      <c r="C83" s="16"/>
      <c r="D83" s="15"/>
      <c r="E83" s="16">
        <v>2</v>
      </c>
      <c r="F83" s="15" t="s">
        <v>43</v>
      </c>
      <c r="G83" s="15"/>
      <c r="H83" s="16"/>
      <c r="I83" s="17"/>
    </row>
    <row r="84" spans="1:9" ht="31.5" x14ac:dyDescent="0.25">
      <c r="A84" s="14"/>
      <c r="B84" s="15"/>
      <c r="C84" s="16"/>
      <c r="D84" s="15"/>
      <c r="E84" s="16">
        <v>3</v>
      </c>
      <c r="F84" s="15" t="s">
        <v>41</v>
      </c>
      <c r="G84" s="15"/>
      <c r="H84" s="16"/>
      <c r="I84" s="17"/>
    </row>
    <row r="85" spans="1:9" x14ac:dyDescent="0.25">
      <c r="A85" s="14"/>
      <c r="B85" s="15"/>
      <c r="C85" s="16" t="s">
        <v>18</v>
      </c>
      <c r="D85" s="15" t="s">
        <v>47</v>
      </c>
      <c r="E85" s="16"/>
      <c r="F85" s="15"/>
      <c r="G85" s="15"/>
      <c r="H85" s="16">
        <v>2</v>
      </c>
      <c r="I85" s="17">
        <v>1.2</v>
      </c>
    </row>
    <row r="86" spans="1:9" x14ac:dyDescent="0.25">
      <c r="A86" s="14"/>
      <c r="B86" s="15"/>
      <c r="C86" s="16"/>
      <c r="D86" s="15"/>
      <c r="E86" s="16">
        <v>0</v>
      </c>
      <c r="F86" s="15" t="s">
        <v>37</v>
      </c>
      <c r="G86" s="15"/>
      <c r="H86" s="16"/>
      <c r="I86" s="17"/>
    </row>
    <row r="87" spans="1:9" x14ac:dyDescent="0.25">
      <c r="A87" s="14"/>
      <c r="B87" s="15"/>
      <c r="C87" s="16"/>
      <c r="D87" s="15"/>
      <c r="E87" s="16">
        <v>1</v>
      </c>
      <c r="F87" s="15" t="s">
        <v>38</v>
      </c>
      <c r="G87" s="15"/>
      <c r="H87" s="16"/>
      <c r="I87" s="17"/>
    </row>
    <row r="88" spans="1:9" x14ac:dyDescent="0.25">
      <c r="A88" s="14"/>
      <c r="B88" s="15"/>
      <c r="C88" s="16"/>
      <c r="D88" s="15"/>
      <c r="E88" s="16">
        <v>2</v>
      </c>
      <c r="F88" s="15" t="s">
        <v>43</v>
      </c>
      <c r="G88" s="15"/>
      <c r="H88" s="16"/>
      <c r="I88" s="17"/>
    </row>
    <row r="89" spans="1:9" ht="31.5" x14ac:dyDescent="0.25">
      <c r="A89" s="14"/>
      <c r="B89" s="15"/>
      <c r="C89" s="16"/>
      <c r="D89" s="15"/>
      <c r="E89" s="16">
        <v>3</v>
      </c>
      <c r="F89" s="15" t="s">
        <v>41</v>
      </c>
      <c r="G89" s="15"/>
      <c r="H89" s="16"/>
      <c r="I89" s="17"/>
    </row>
    <row r="90" spans="1:9" ht="31.5" x14ac:dyDescent="0.25">
      <c r="A90" s="14">
        <v>2</v>
      </c>
      <c r="B90" s="15" t="s">
        <v>48</v>
      </c>
      <c r="C90" s="16"/>
      <c r="D90" s="15"/>
      <c r="E90" s="16"/>
      <c r="F90" s="15"/>
      <c r="G90" s="15"/>
      <c r="H90" s="16"/>
      <c r="I90" s="17"/>
    </row>
    <row r="91" spans="1:9" x14ac:dyDescent="0.25">
      <c r="A91" s="14"/>
      <c r="B91" s="15"/>
      <c r="C91" s="16" t="s">
        <v>14</v>
      </c>
      <c r="D91" s="15" t="s">
        <v>49</v>
      </c>
      <c r="E91" s="16"/>
      <c r="F91" s="15" t="s">
        <v>16</v>
      </c>
      <c r="G91" s="15"/>
      <c r="H91" s="16">
        <v>1</v>
      </c>
      <c r="I91" s="17">
        <v>0.2</v>
      </c>
    </row>
    <row r="92" spans="1:9" x14ac:dyDescent="0.25">
      <c r="A92" s="14"/>
      <c r="B92" s="15"/>
      <c r="C92" s="16" t="s">
        <v>14</v>
      </c>
      <c r="D92" s="15" t="s">
        <v>50</v>
      </c>
      <c r="E92" s="16"/>
      <c r="F92" s="15" t="s">
        <v>16</v>
      </c>
      <c r="G92" s="15"/>
      <c r="H92" s="16">
        <v>1</v>
      </c>
      <c r="I92" s="17">
        <v>0.2</v>
      </c>
    </row>
    <row r="93" spans="1:9" x14ac:dyDescent="0.25">
      <c r="A93" s="14"/>
      <c r="B93" s="15"/>
      <c r="C93" s="16" t="s">
        <v>14</v>
      </c>
      <c r="D93" s="15" t="s">
        <v>51</v>
      </c>
      <c r="E93" s="16"/>
      <c r="F93" s="15" t="s">
        <v>16</v>
      </c>
      <c r="G93" s="15"/>
      <c r="H93" s="16">
        <v>1</v>
      </c>
      <c r="I93" s="17">
        <v>0.2</v>
      </c>
    </row>
    <row r="94" spans="1:9" x14ac:dyDescent="0.25">
      <c r="A94" s="14">
        <v>3</v>
      </c>
      <c r="B94" s="15" t="s">
        <v>52</v>
      </c>
      <c r="C94" s="16"/>
      <c r="D94" s="15"/>
      <c r="E94" s="16"/>
      <c r="F94" s="15"/>
      <c r="G94" s="15"/>
      <c r="H94" s="16"/>
      <c r="I94" s="17"/>
    </row>
    <row r="95" spans="1:9" ht="31.5" x14ac:dyDescent="0.25">
      <c r="A95" s="32"/>
      <c r="B95" s="12"/>
      <c r="C95" s="13" t="s">
        <v>14</v>
      </c>
      <c r="D95" s="12" t="s">
        <v>53</v>
      </c>
      <c r="E95" s="13"/>
      <c r="F95" s="12" t="s">
        <v>16</v>
      </c>
      <c r="G95" s="12"/>
      <c r="H95" s="13">
        <v>2</v>
      </c>
      <c r="I95" s="25">
        <v>0.2</v>
      </c>
    </row>
    <row r="96" spans="1:9" x14ac:dyDescent="0.25">
      <c r="A96" s="47" t="s">
        <v>54</v>
      </c>
      <c r="B96" s="9" t="s">
        <v>55</v>
      </c>
      <c r="C96" s="8"/>
      <c r="D96" s="9"/>
      <c r="E96" s="8"/>
      <c r="F96" s="9"/>
      <c r="G96" s="9"/>
      <c r="H96" s="8"/>
      <c r="I96" s="10">
        <f>SUM(I98:I214)</f>
        <v>51.5</v>
      </c>
    </row>
    <row r="97" spans="1:9" ht="47.25" x14ac:dyDescent="0.25">
      <c r="A97" s="11">
        <v>1</v>
      </c>
      <c r="B97" s="12" t="s">
        <v>56</v>
      </c>
      <c r="C97" s="13"/>
      <c r="D97" s="12"/>
      <c r="E97" s="13"/>
      <c r="F97" s="12"/>
      <c r="G97" s="12"/>
      <c r="H97" s="13"/>
      <c r="I97" s="48"/>
    </row>
    <row r="98" spans="1:9" x14ac:dyDescent="0.25">
      <c r="A98" s="14"/>
      <c r="B98" s="15"/>
      <c r="C98" s="16" t="s">
        <v>14</v>
      </c>
      <c r="D98" s="15" t="s">
        <v>57</v>
      </c>
      <c r="E98" s="16"/>
      <c r="F98" s="15" t="s">
        <v>16</v>
      </c>
      <c r="G98" s="15"/>
      <c r="H98" s="16">
        <v>2</v>
      </c>
      <c r="I98" s="20">
        <v>1</v>
      </c>
    </row>
    <row r="99" spans="1:9" x14ac:dyDescent="0.25">
      <c r="A99" s="14"/>
      <c r="B99" s="15"/>
      <c r="C99" s="16" t="s">
        <v>18</v>
      </c>
      <c r="D99" s="15" t="s">
        <v>115</v>
      </c>
      <c r="E99" s="16"/>
      <c r="F99" s="15"/>
      <c r="G99" s="15"/>
      <c r="H99" s="16">
        <v>2</v>
      </c>
      <c r="I99" s="20">
        <v>1.5</v>
      </c>
    </row>
    <row r="100" spans="1:9" x14ac:dyDescent="0.25">
      <c r="A100" s="14"/>
      <c r="B100" s="15"/>
      <c r="C100" s="16"/>
      <c r="D100" s="15"/>
      <c r="E100" s="16">
        <v>0</v>
      </c>
      <c r="F100" s="15" t="s">
        <v>116</v>
      </c>
      <c r="G100" s="15"/>
      <c r="H100" s="16"/>
      <c r="I100" s="20"/>
    </row>
    <row r="101" spans="1:9" ht="31.5" x14ac:dyDescent="0.25">
      <c r="A101" s="14"/>
      <c r="B101" s="15"/>
      <c r="C101" s="16"/>
      <c r="D101" s="15"/>
      <c r="E101" s="16">
        <v>1</v>
      </c>
      <c r="F101" s="21" t="s">
        <v>117</v>
      </c>
      <c r="G101" s="15"/>
      <c r="H101" s="16"/>
      <c r="I101" s="20"/>
    </row>
    <row r="102" spans="1:9" ht="31.5" x14ac:dyDescent="0.25">
      <c r="A102" s="14"/>
      <c r="B102" s="15"/>
      <c r="C102" s="16"/>
      <c r="D102" s="15"/>
      <c r="E102" s="16">
        <v>2</v>
      </c>
      <c r="F102" s="21" t="s">
        <v>119</v>
      </c>
      <c r="G102" s="15"/>
      <c r="H102" s="16"/>
      <c r="I102" s="20"/>
    </row>
    <row r="103" spans="1:9" ht="47.25" x14ac:dyDescent="0.25">
      <c r="A103" s="14"/>
      <c r="B103" s="15"/>
      <c r="C103" s="16"/>
      <c r="D103" s="15"/>
      <c r="E103" s="16">
        <v>3</v>
      </c>
      <c r="F103" s="21" t="s">
        <v>120</v>
      </c>
      <c r="G103" s="15"/>
      <c r="H103" s="16"/>
      <c r="I103" s="20"/>
    </row>
    <row r="104" spans="1:9" ht="47.25" x14ac:dyDescent="0.25">
      <c r="A104" s="14"/>
      <c r="B104" s="15"/>
      <c r="C104" s="16" t="s">
        <v>18</v>
      </c>
      <c r="D104" s="15" t="s">
        <v>169</v>
      </c>
      <c r="E104" s="16"/>
      <c r="F104" s="15"/>
      <c r="G104" s="15"/>
      <c r="H104" s="16">
        <v>2</v>
      </c>
      <c r="I104" s="20">
        <v>1.5</v>
      </c>
    </row>
    <row r="105" spans="1:9" x14ac:dyDescent="0.25">
      <c r="A105" s="14"/>
      <c r="B105" s="15"/>
      <c r="C105" s="16"/>
      <c r="D105" s="15"/>
      <c r="E105" s="16">
        <v>0</v>
      </c>
      <c r="F105" s="15" t="s">
        <v>58</v>
      </c>
      <c r="G105" s="15"/>
      <c r="H105" s="16"/>
      <c r="I105" s="20"/>
    </row>
    <row r="106" spans="1:9" ht="31.5" x14ac:dyDescent="0.25">
      <c r="A106" s="14"/>
      <c r="B106" s="15"/>
      <c r="C106" s="16"/>
      <c r="D106" s="15"/>
      <c r="E106" s="16">
        <v>1</v>
      </c>
      <c r="F106" s="15" t="s">
        <v>121</v>
      </c>
      <c r="G106" s="15"/>
      <c r="H106" s="16"/>
      <c r="I106" s="20"/>
    </row>
    <row r="107" spans="1:9" ht="47.25" x14ac:dyDescent="0.25">
      <c r="A107" s="14"/>
      <c r="B107" s="15"/>
      <c r="C107" s="16"/>
      <c r="D107" s="15"/>
      <c r="E107" s="16">
        <v>2</v>
      </c>
      <c r="F107" s="15" t="s">
        <v>122</v>
      </c>
      <c r="G107" s="15"/>
      <c r="H107" s="16"/>
      <c r="I107" s="20"/>
    </row>
    <row r="108" spans="1:9" ht="47.25" x14ac:dyDescent="0.25">
      <c r="A108" s="14"/>
      <c r="B108" s="15"/>
      <c r="C108" s="16"/>
      <c r="D108" s="15"/>
      <c r="E108" s="16">
        <v>3</v>
      </c>
      <c r="F108" s="15" t="s">
        <v>118</v>
      </c>
      <c r="G108" s="15"/>
      <c r="H108" s="16"/>
      <c r="I108" s="20"/>
    </row>
    <row r="109" spans="1:9" ht="31.5" x14ac:dyDescent="0.25">
      <c r="A109" s="57">
        <v>2</v>
      </c>
      <c r="B109" s="31" t="s">
        <v>180</v>
      </c>
      <c r="C109" s="58"/>
      <c r="D109" s="59"/>
      <c r="E109" s="58"/>
      <c r="F109" s="31"/>
      <c r="G109" s="59"/>
      <c r="H109" s="58"/>
      <c r="I109" s="58"/>
    </row>
    <row r="110" spans="1:9" x14ac:dyDescent="0.25">
      <c r="A110" s="57"/>
      <c r="B110" s="59"/>
      <c r="C110" s="58" t="s">
        <v>14</v>
      </c>
      <c r="D110" s="31" t="s">
        <v>181</v>
      </c>
      <c r="E110" s="58"/>
      <c r="F110" s="31" t="s">
        <v>16</v>
      </c>
      <c r="G110" s="31"/>
      <c r="H110" s="58">
        <v>2</v>
      </c>
      <c r="I110" s="60">
        <v>0.75</v>
      </c>
    </row>
    <row r="111" spans="1:9" ht="31.5" x14ac:dyDescent="0.25">
      <c r="A111" s="57"/>
      <c r="B111" s="59"/>
      <c r="C111" s="58" t="s">
        <v>14</v>
      </c>
      <c r="D111" s="31" t="s">
        <v>170</v>
      </c>
      <c r="E111" s="58"/>
      <c r="F111" s="31" t="s">
        <v>16</v>
      </c>
      <c r="G111" s="31"/>
      <c r="H111" s="58">
        <v>2</v>
      </c>
      <c r="I111" s="60">
        <v>0.75</v>
      </c>
    </row>
    <row r="112" spans="1:9" ht="31.5" x14ac:dyDescent="0.25">
      <c r="A112" s="57"/>
      <c r="B112" s="59"/>
      <c r="C112" s="58" t="s">
        <v>14</v>
      </c>
      <c r="D112" s="61" t="s">
        <v>177</v>
      </c>
      <c r="E112" s="58"/>
      <c r="F112" s="31" t="s">
        <v>16</v>
      </c>
      <c r="G112" s="31"/>
      <c r="H112" s="58">
        <v>2</v>
      </c>
      <c r="I112" s="60">
        <v>0.25</v>
      </c>
    </row>
    <row r="113" spans="1:10" ht="31.5" x14ac:dyDescent="0.25">
      <c r="A113" s="57"/>
      <c r="B113" s="59"/>
      <c r="C113" s="58" t="s">
        <v>14</v>
      </c>
      <c r="D113" s="31" t="s">
        <v>178</v>
      </c>
      <c r="E113" s="58"/>
      <c r="F113" s="31" t="s">
        <v>16</v>
      </c>
      <c r="G113" s="31"/>
      <c r="H113" s="58">
        <v>2</v>
      </c>
      <c r="I113" s="60">
        <v>0.25</v>
      </c>
    </row>
    <row r="114" spans="1:10" ht="31.5" x14ac:dyDescent="0.25">
      <c r="A114" s="57"/>
      <c r="B114" s="59"/>
      <c r="C114" s="58" t="s">
        <v>14</v>
      </c>
      <c r="D114" s="61" t="s">
        <v>171</v>
      </c>
      <c r="E114" s="58"/>
      <c r="F114" s="31" t="s">
        <v>16</v>
      </c>
      <c r="G114" s="31"/>
      <c r="H114" s="58">
        <v>2</v>
      </c>
      <c r="I114" s="60">
        <v>0.5</v>
      </c>
    </row>
    <row r="115" spans="1:10" ht="31.5" x14ac:dyDescent="0.25">
      <c r="A115" s="57"/>
      <c r="B115" s="59"/>
      <c r="C115" s="58" t="s">
        <v>14</v>
      </c>
      <c r="D115" s="31" t="s">
        <v>182</v>
      </c>
      <c r="E115" s="58"/>
      <c r="F115" s="31" t="s">
        <v>16</v>
      </c>
      <c r="G115" s="31"/>
      <c r="H115" s="58">
        <v>2</v>
      </c>
      <c r="I115" s="60">
        <v>0.5</v>
      </c>
    </row>
    <row r="116" spans="1:10" ht="47.25" x14ac:dyDescent="0.25">
      <c r="A116" s="57"/>
      <c r="B116" s="59"/>
      <c r="C116" s="58" t="s">
        <v>14</v>
      </c>
      <c r="D116" s="61" t="s">
        <v>172</v>
      </c>
      <c r="E116" s="58"/>
      <c r="F116" s="31" t="s">
        <v>16</v>
      </c>
      <c r="G116" s="31"/>
      <c r="H116" s="58">
        <v>2</v>
      </c>
      <c r="I116" s="60">
        <v>0.25</v>
      </c>
    </row>
    <row r="117" spans="1:10" ht="31.5" x14ac:dyDescent="0.25">
      <c r="A117" s="57"/>
      <c r="B117" s="59"/>
      <c r="C117" s="58" t="s">
        <v>14</v>
      </c>
      <c r="D117" s="31" t="s">
        <v>173</v>
      </c>
      <c r="E117" s="58"/>
      <c r="F117" s="31" t="s">
        <v>16</v>
      </c>
      <c r="G117" s="31"/>
      <c r="H117" s="58">
        <v>2</v>
      </c>
      <c r="I117" s="60">
        <v>0.25</v>
      </c>
    </row>
    <row r="118" spans="1:10" ht="31.5" x14ac:dyDescent="0.25">
      <c r="A118" s="57"/>
      <c r="B118" s="59"/>
      <c r="C118" s="58" t="s">
        <v>14</v>
      </c>
      <c r="D118" s="31" t="s">
        <v>174</v>
      </c>
      <c r="E118" s="58"/>
      <c r="F118" s="31" t="s">
        <v>16</v>
      </c>
      <c r="G118" s="31"/>
      <c r="H118" s="58">
        <v>2</v>
      </c>
      <c r="I118" s="60">
        <v>0.25</v>
      </c>
    </row>
    <row r="119" spans="1:10" x14ac:dyDescent="0.25">
      <c r="A119" s="57"/>
      <c r="B119" s="59"/>
      <c r="C119" s="58" t="s">
        <v>14</v>
      </c>
      <c r="D119" s="31" t="s">
        <v>175</v>
      </c>
      <c r="E119" s="58"/>
      <c r="F119" s="31" t="s">
        <v>16</v>
      </c>
      <c r="G119" s="31"/>
      <c r="H119" s="58">
        <v>2</v>
      </c>
      <c r="I119" s="60">
        <v>0.25</v>
      </c>
    </row>
    <row r="120" spans="1:10" ht="47.25" x14ac:dyDescent="0.25">
      <c r="A120" s="57"/>
      <c r="B120" s="59"/>
      <c r="C120" s="58" t="s">
        <v>14</v>
      </c>
      <c r="D120" s="31" t="s">
        <v>176</v>
      </c>
      <c r="E120" s="58"/>
      <c r="F120" s="31" t="s">
        <v>16</v>
      </c>
      <c r="G120" s="31"/>
      <c r="H120" s="58">
        <v>2</v>
      </c>
      <c r="I120" s="60">
        <v>0.5</v>
      </c>
    </row>
    <row r="121" spans="1:10" x14ac:dyDescent="0.25">
      <c r="A121" s="57"/>
      <c r="B121" s="59"/>
      <c r="C121" s="58" t="s">
        <v>14</v>
      </c>
      <c r="D121" s="31" t="s">
        <v>183</v>
      </c>
      <c r="E121" s="58"/>
      <c r="F121" s="31" t="s">
        <v>16</v>
      </c>
      <c r="G121" s="31"/>
      <c r="H121" s="58">
        <v>2</v>
      </c>
      <c r="I121" s="60">
        <v>0.25</v>
      </c>
    </row>
    <row r="122" spans="1:10" x14ac:dyDescent="0.25">
      <c r="A122" s="57">
        <v>3</v>
      </c>
      <c r="B122" s="59" t="s">
        <v>59</v>
      </c>
      <c r="C122" s="58"/>
      <c r="D122" s="31"/>
      <c r="E122" s="58"/>
      <c r="F122" s="31"/>
      <c r="G122" s="31"/>
      <c r="H122" s="58"/>
      <c r="I122" s="60"/>
      <c r="J122" s="30"/>
    </row>
    <row r="123" spans="1:10" x14ac:dyDescent="0.25">
      <c r="A123" s="57"/>
      <c r="B123" s="59"/>
      <c r="C123" s="58" t="s">
        <v>14</v>
      </c>
      <c r="D123" s="31" t="s">
        <v>179</v>
      </c>
      <c r="E123" s="58"/>
      <c r="F123" s="31" t="s">
        <v>16</v>
      </c>
      <c r="G123" s="31"/>
      <c r="H123" s="58">
        <v>2</v>
      </c>
      <c r="I123" s="60">
        <v>0.25</v>
      </c>
      <c r="J123" s="30"/>
    </row>
    <row r="124" spans="1:10" ht="31.5" x14ac:dyDescent="0.25">
      <c r="A124" s="57"/>
      <c r="B124" s="59"/>
      <c r="C124" s="58" t="s">
        <v>14</v>
      </c>
      <c r="D124" s="31" t="s">
        <v>184</v>
      </c>
      <c r="E124" s="58"/>
      <c r="F124" s="31" t="s">
        <v>16</v>
      </c>
      <c r="G124" s="31"/>
      <c r="H124" s="58">
        <v>2</v>
      </c>
      <c r="I124" s="60">
        <v>0.25</v>
      </c>
      <c r="J124" s="30"/>
    </row>
    <row r="125" spans="1:10" x14ac:dyDescent="0.25">
      <c r="A125" s="57"/>
      <c r="B125" s="59"/>
      <c r="C125" s="58" t="s">
        <v>14</v>
      </c>
      <c r="D125" s="31" t="s">
        <v>185</v>
      </c>
      <c r="E125" s="58"/>
      <c r="F125" s="31" t="s">
        <v>16</v>
      </c>
      <c r="G125" s="31"/>
      <c r="H125" s="58">
        <v>1</v>
      </c>
      <c r="I125" s="60">
        <v>0.5</v>
      </c>
      <c r="J125" s="30"/>
    </row>
    <row r="126" spans="1:10" ht="31.5" x14ac:dyDescent="0.25">
      <c r="A126" s="57">
        <v>4</v>
      </c>
      <c r="B126" s="31" t="s">
        <v>186</v>
      </c>
      <c r="C126" s="58"/>
      <c r="D126" s="31"/>
      <c r="E126" s="58"/>
      <c r="F126" s="31"/>
      <c r="G126" s="31"/>
      <c r="H126" s="58"/>
      <c r="I126" s="60"/>
      <c r="J126" s="30"/>
    </row>
    <row r="127" spans="1:10" ht="31.5" x14ac:dyDescent="0.25">
      <c r="A127" s="57"/>
      <c r="B127" s="59"/>
      <c r="C127" s="58" t="s">
        <v>14</v>
      </c>
      <c r="D127" s="31" t="s">
        <v>187</v>
      </c>
      <c r="E127" s="58"/>
      <c r="F127" s="31" t="s">
        <v>16</v>
      </c>
      <c r="G127" s="31"/>
      <c r="H127" s="58">
        <v>2</v>
      </c>
      <c r="I127" s="60">
        <v>0.25</v>
      </c>
      <c r="J127" s="30"/>
    </row>
    <row r="128" spans="1:10" ht="31.5" x14ac:dyDescent="0.25">
      <c r="A128" s="57"/>
      <c r="B128" s="59"/>
      <c r="C128" s="58" t="s">
        <v>14</v>
      </c>
      <c r="D128" s="31" t="s">
        <v>188</v>
      </c>
      <c r="E128" s="58"/>
      <c r="F128" s="31" t="s">
        <v>16</v>
      </c>
      <c r="G128" s="31"/>
      <c r="H128" s="58">
        <v>2</v>
      </c>
      <c r="I128" s="60">
        <v>0.25</v>
      </c>
      <c r="J128" s="30"/>
    </row>
    <row r="129" spans="1:10" x14ac:dyDescent="0.25">
      <c r="A129" s="57"/>
      <c r="B129" s="59"/>
      <c r="C129" s="58" t="s">
        <v>14</v>
      </c>
      <c r="D129" s="31" t="s">
        <v>189</v>
      </c>
      <c r="E129" s="58"/>
      <c r="F129" s="31" t="s">
        <v>16</v>
      </c>
      <c r="G129" s="31"/>
      <c r="H129" s="58">
        <v>2</v>
      </c>
      <c r="I129" s="60">
        <v>0.5</v>
      </c>
      <c r="J129" s="30"/>
    </row>
    <row r="130" spans="1:10" x14ac:dyDescent="0.25">
      <c r="A130" s="57"/>
      <c r="B130" s="59"/>
      <c r="C130" s="58" t="s">
        <v>14</v>
      </c>
      <c r="D130" s="31" t="s">
        <v>190</v>
      </c>
      <c r="E130" s="58"/>
      <c r="F130" s="31" t="s">
        <v>16</v>
      </c>
      <c r="G130" s="31"/>
      <c r="H130" s="58">
        <v>1</v>
      </c>
      <c r="I130" s="60">
        <v>0.5</v>
      </c>
      <c r="J130" s="30"/>
    </row>
    <row r="131" spans="1:10" ht="31.5" x14ac:dyDescent="0.25">
      <c r="A131" s="57"/>
      <c r="B131" s="59"/>
      <c r="C131" s="58" t="s">
        <v>14</v>
      </c>
      <c r="D131" s="31" t="s">
        <v>191</v>
      </c>
      <c r="E131" s="58"/>
      <c r="F131" s="31" t="s">
        <v>16</v>
      </c>
      <c r="G131" s="31"/>
      <c r="H131" s="58">
        <v>2</v>
      </c>
      <c r="I131" s="60">
        <v>0.25</v>
      </c>
      <c r="J131" s="30"/>
    </row>
    <row r="132" spans="1:10" ht="31.5" x14ac:dyDescent="0.25">
      <c r="A132" s="57"/>
      <c r="B132" s="59"/>
      <c r="C132" s="58" t="s">
        <v>14</v>
      </c>
      <c r="D132" s="31" t="s">
        <v>192</v>
      </c>
      <c r="E132" s="58"/>
      <c r="F132" s="31" t="s">
        <v>16</v>
      </c>
      <c r="G132" s="31"/>
      <c r="H132" s="58">
        <v>2</v>
      </c>
      <c r="I132" s="60">
        <v>0.25</v>
      </c>
      <c r="J132" s="30"/>
    </row>
    <row r="133" spans="1:10" ht="47.25" x14ac:dyDescent="0.25">
      <c r="A133" s="57"/>
      <c r="B133" s="59"/>
      <c r="C133" s="58" t="s">
        <v>14</v>
      </c>
      <c r="D133" s="31" t="s">
        <v>193</v>
      </c>
      <c r="E133" s="58"/>
      <c r="F133" s="31" t="s">
        <v>16</v>
      </c>
      <c r="G133" s="31"/>
      <c r="H133" s="58">
        <v>2</v>
      </c>
      <c r="I133" s="60">
        <v>0.25</v>
      </c>
    </row>
    <row r="134" spans="1:10" ht="31.5" x14ac:dyDescent="0.25">
      <c r="A134" s="57"/>
      <c r="B134" s="59"/>
      <c r="C134" s="58" t="s">
        <v>14</v>
      </c>
      <c r="D134" s="31" t="s">
        <v>194</v>
      </c>
      <c r="E134" s="58"/>
      <c r="F134" s="31" t="s">
        <v>16</v>
      </c>
      <c r="G134" s="31"/>
      <c r="H134" s="58">
        <v>2</v>
      </c>
      <c r="I134" s="60">
        <v>0.25</v>
      </c>
    </row>
    <row r="135" spans="1:10" x14ac:dyDescent="0.25">
      <c r="A135" s="57">
        <v>5</v>
      </c>
      <c r="B135" s="59" t="s">
        <v>195</v>
      </c>
      <c r="C135" s="58"/>
      <c r="D135" s="59"/>
      <c r="E135" s="58"/>
      <c r="F135" s="31"/>
      <c r="G135" s="59"/>
      <c r="H135" s="58"/>
      <c r="I135" s="58"/>
    </row>
    <row r="136" spans="1:10" x14ac:dyDescent="0.25">
      <c r="A136" s="57"/>
      <c r="B136" s="59"/>
      <c r="C136" s="58" t="s">
        <v>14</v>
      </c>
      <c r="D136" s="31" t="s">
        <v>196</v>
      </c>
      <c r="E136" s="58"/>
      <c r="F136" s="31" t="s">
        <v>16</v>
      </c>
      <c r="G136" s="31"/>
      <c r="H136" s="58">
        <v>2</v>
      </c>
      <c r="I136" s="60">
        <v>0.25</v>
      </c>
    </row>
    <row r="137" spans="1:10" x14ac:dyDescent="0.25">
      <c r="A137" s="57"/>
      <c r="B137" s="59"/>
      <c r="C137" s="58" t="s">
        <v>14</v>
      </c>
      <c r="D137" s="31" t="s">
        <v>197</v>
      </c>
      <c r="E137" s="58"/>
      <c r="F137" s="31" t="s">
        <v>16</v>
      </c>
      <c r="G137" s="31"/>
      <c r="H137" s="58">
        <v>2</v>
      </c>
      <c r="I137" s="60">
        <v>0.25</v>
      </c>
    </row>
    <row r="138" spans="1:10" ht="31.5" x14ac:dyDescent="0.25">
      <c r="A138" s="57"/>
      <c r="B138" s="59"/>
      <c r="C138" s="58" t="s">
        <v>14</v>
      </c>
      <c r="D138" s="31" t="s">
        <v>198</v>
      </c>
      <c r="E138" s="58"/>
      <c r="F138" s="31" t="s">
        <v>16</v>
      </c>
      <c r="G138" s="31"/>
      <c r="H138" s="58">
        <v>2</v>
      </c>
      <c r="I138" s="60">
        <v>0.5</v>
      </c>
    </row>
    <row r="139" spans="1:10" ht="31.5" x14ac:dyDescent="0.25">
      <c r="A139" s="57"/>
      <c r="B139" s="59"/>
      <c r="C139" s="58" t="s">
        <v>14</v>
      </c>
      <c r="D139" s="31" t="s">
        <v>199</v>
      </c>
      <c r="E139" s="58"/>
      <c r="F139" s="31" t="s">
        <v>16</v>
      </c>
      <c r="G139" s="31"/>
      <c r="H139" s="58">
        <v>1</v>
      </c>
      <c r="I139" s="60">
        <v>0.5</v>
      </c>
    </row>
    <row r="140" spans="1:10" ht="31.5" x14ac:dyDescent="0.25">
      <c r="A140" s="57"/>
      <c r="B140" s="59"/>
      <c r="C140" s="58" t="s">
        <v>14</v>
      </c>
      <c r="D140" s="31" t="s">
        <v>200</v>
      </c>
      <c r="E140" s="58"/>
      <c r="F140" s="31" t="s">
        <v>16</v>
      </c>
      <c r="G140" s="31"/>
      <c r="H140" s="58">
        <v>2</v>
      </c>
      <c r="I140" s="60">
        <v>0.5</v>
      </c>
    </row>
    <row r="141" spans="1:10" x14ac:dyDescent="0.25">
      <c r="A141" s="57"/>
      <c r="B141" s="59"/>
      <c r="C141" s="58" t="s">
        <v>14</v>
      </c>
      <c r="D141" s="31" t="s">
        <v>201</v>
      </c>
      <c r="E141" s="58"/>
      <c r="F141" s="31" t="s">
        <v>16</v>
      </c>
      <c r="G141" s="31"/>
      <c r="H141" s="58">
        <v>1</v>
      </c>
      <c r="I141" s="60">
        <v>0.5</v>
      </c>
    </row>
    <row r="142" spans="1:10" ht="31.5" x14ac:dyDescent="0.25">
      <c r="A142" s="57"/>
      <c r="B142" s="59"/>
      <c r="C142" s="58" t="s">
        <v>14</v>
      </c>
      <c r="D142" s="31" t="s">
        <v>202</v>
      </c>
      <c r="E142" s="58"/>
      <c r="F142" s="31" t="s">
        <v>16</v>
      </c>
      <c r="G142" s="31"/>
      <c r="H142" s="58">
        <v>2</v>
      </c>
      <c r="I142" s="60">
        <v>0.5</v>
      </c>
    </row>
    <row r="143" spans="1:10" x14ac:dyDescent="0.25">
      <c r="A143" s="57"/>
      <c r="B143" s="59"/>
      <c r="C143" s="58" t="s">
        <v>14</v>
      </c>
      <c r="D143" s="31" t="s">
        <v>203</v>
      </c>
      <c r="E143" s="58"/>
      <c r="F143" s="31" t="s">
        <v>16</v>
      </c>
      <c r="G143" s="31"/>
      <c r="H143" s="58">
        <v>1</v>
      </c>
      <c r="I143" s="60">
        <v>0.5</v>
      </c>
    </row>
    <row r="144" spans="1:10" ht="31.5" x14ac:dyDescent="0.25">
      <c r="A144" s="57"/>
      <c r="B144" s="59"/>
      <c r="C144" s="58" t="s">
        <v>14</v>
      </c>
      <c r="D144" s="31" t="s">
        <v>204</v>
      </c>
      <c r="E144" s="58"/>
      <c r="F144" s="31" t="s">
        <v>16</v>
      </c>
      <c r="G144" s="31"/>
      <c r="H144" s="58">
        <v>2</v>
      </c>
      <c r="I144" s="60">
        <v>0.5</v>
      </c>
    </row>
    <row r="145" spans="1:9" ht="47.25" x14ac:dyDescent="0.25">
      <c r="A145" s="57"/>
      <c r="B145" s="59"/>
      <c r="C145" s="58" t="s">
        <v>14</v>
      </c>
      <c r="D145" s="31" t="s">
        <v>205</v>
      </c>
      <c r="E145" s="58"/>
      <c r="F145" s="31" t="s">
        <v>16</v>
      </c>
      <c r="G145" s="31"/>
      <c r="H145" s="58">
        <v>2</v>
      </c>
      <c r="I145" s="60">
        <v>0.5</v>
      </c>
    </row>
    <row r="146" spans="1:9" ht="31.5" x14ac:dyDescent="0.25">
      <c r="A146" s="57"/>
      <c r="B146" s="59"/>
      <c r="C146" s="58" t="s">
        <v>14</v>
      </c>
      <c r="D146" s="31" t="s">
        <v>206</v>
      </c>
      <c r="E146" s="58"/>
      <c r="F146" s="31" t="s">
        <v>16</v>
      </c>
      <c r="G146" s="31"/>
      <c r="H146" s="58">
        <v>1</v>
      </c>
      <c r="I146" s="60">
        <v>0.5</v>
      </c>
    </row>
    <row r="147" spans="1:9" ht="47.25" x14ac:dyDescent="0.25">
      <c r="A147" s="57"/>
      <c r="B147" s="59"/>
      <c r="C147" s="58" t="s">
        <v>14</v>
      </c>
      <c r="D147" s="31" t="s">
        <v>207</v>
      </c>
      <c r="E147" s="58"/>
      <c r="F147" s="31" t="s">
        <v>16</v>
      </c>
      <c r="G147" s="31"/>
      <c r="H147" s="58">
        <v>2</v>
      </c>
      <c r="I147" s="60">
        <v>0.5</v>
      </c>
    </row>
    <row r="148" spans="1:9" x14ac:dyDescent="0.25">
      <c r="A148" s="57"/>
      <c r="B148" s="59"/>
      <c r="C148" s="58" t="s">
        <v>14</v>
      </c>
      <c r="D148" s="31" t="s">
        <v>208</v>
      </c>
      <c r="E148" s="58"/>
      <c r="F148" s="31" t="s">
        <v>16</v>
      </c>
      <c r="G148" s="31"/>
      <c r="H148" s="58">
        <v>3</v>
      </c>
      <c r="I148" s="60">
        <v>0.5</v>
      </c>
    </row>
    <row r="149" spans="1:9" ht="47.25" x14ac:dyDescent="0.25">
      <c r="A149" s="57"/>
      <c r="B149" s="59"/>
      <c r="C149" s="58" t="s">
        <v>14</v>
      </c>
      <c r="D149" s="31" t="s">
        <v>209</v>
      </c>
      <c r="E149" s="58"/>
      <c r="F149" s="31" t="s">
        <v>16</v>
      </c>
      <c r="G149" s="31"/>
      <c r="H149" s="58">
        <v>3</v>
      </c>
      <c r="I149" s="60">
        <v>1.25</v>
      </c>
    </row>
    <row r="150" spans="1:9" ht="31.5" x14ac:dyDescent="0.25">
      <c r="A150" s="57">
        <v>6</v>
      </c>
      <c r="B150" s="31" t="s">
        <v>210</v>
      </c>
      <c r="C150" s="58"/>
      <c r="D150" s="31"/>
      <c r="E150" s="58"/>
      <c r="F150" s="31"/>
      <c r="G150" s="31"/>
      <c r="H150" s="58"/>
      <c r="I150" s="60"/>
    </row>
    <row r="151" spans="1:9" ht="31.5" x14ac:dyDescent="0.25">
      <c r="A151" s="57"/>
      <c r="B151" s="59"/>
      <c r="C151" s="58" t="s">
        <v>14</v>
      </c>
      <c r="D151" s="31" t="s">
        <v>211</v>
      </c>
      <c r="E151" s="58"/>
      <c r="F151" s="31" t="s">
        <v>16</v>
      </c>
      <c r="G151" s="31"/>
      <c r="H151" s="58">
        <v>2</v>
      </c>
      <c r="I151" s="60">
        <v>0.5</v>
      </c>
    </row>
    <row r="152" spans="1:9" ht="31.5" x14ac:dyDescent="0.25">
      <c r="A152" s="57"/>
      <c r="B152" s="59"/>
      <c r="C152" s="58" t="s">
        <v>14</v>
      </c>
      <c r="D152" s="31" t="s">
        <v>212</v>
      </c>
      <c r="E152" s="58"/>
      <c r="F152" s="31" t="s">
        <v>16</v>
      </c>
      <c r="G152" s="31"/>
      <c r="H152" s="58">
        <v>2</v>
      </c>
      <c r="I152" s="60">
        <v>0.25</v>
      </c>
    </row>
    <row r="153" spans="1:9" ht="31.5" x14ac:dyDescent="0.25">
      <c r="A153" s="57"/>
      <c r="B153" s="59"/>
      <c r="C153" s="58" t="s">
        <v>14</v>
      </c>
      <c r="D153" s="31" t="s">
        <v>213</v>
      </c>
      <c r="E153" s="58"/>
      <c r="F153" s="31" t="s">
        <v>16</v>
      </c>
      <c r="G153" s="31"/>
      <c r="H153" s="58">
        <v>2</v>
      </c>
      <c r="I153" s="60">
        <v>1</v>
      </c>
    </row>
    <row r="154" spans="1:9" ht="47.25" x14ac:dyDescent="0.25">
      <c r="A154" s="57"/>
      <c r="B154" s="59"/>
      <c r="C154" s="58" t="s">
        <v>14</v>
      </c>
      <c r="D154" s="31" t="s">
        <v>214</v>
      </c>
      <c r="E154" s="58"/>
      <c r="F154" s="31" t="s">
        <v>16</v>
      </c>
      <c r="G154" s="31"/>
      <c r="H154" s="58">
        <v>2</v>
      </c>
      <c r="I154" s="60">
        <v>0.5</v>
      </c>
    </row>
    <row r="155" spans="1:9" ht="31.5" x14ac:dyDescent="0.25">
      <c r="A155" s="57"/>
      <c r="B155" s="59"/>
      <c r="C155" s="58" t="s">
        <v>14</v>
      </c>
      <c r="D155" s="31" t="s">
        <v>215</v>
      </c>
      <c r="E155" s="58"/>
      <c r="F155" s="31" t="s">
        <v>16</v>
      </c>
      <c r="G155" s="31"/>
      <c r="H155" s="58">
        <v>2</v>
      </c>
      <c r="I155" s="60">
        <v>0.25</v>
      </c>
    </row>
    <row r="156" spans="1:9" ht="31.5" x14ac:dyDescent="0.25">
      <c r="A156" s="57"/>
      <c r="B156" s="59"/>
      <c r="C156" s="58" t="s">
        <v>14</v>
      </c>
      <c r="D156" s="61" t="s">
        <v>216</v>
      </c>
      <c r="E156" s="58"/>
      <c r="F156" s="31" t="s">
        <v>16</v>
      </c>
      <c r="G156" s="31"/>
      <c r="H156" s="58">
        <v>1</v>
      </c>
      <c r="I156" s="60">
        <v>0.75</v>
      </c>
    </row>
    <row r="157" spans="1:9" x14ac:dyDescent="0.25">
      <c r="A157" s="57"/>
      <c r="B157" s="59"/>
      <c r="C157" s="58" t="s">
        <v>14</v>
      </c>
      <c r="D157" s="31" t="s">
        <v>217</v>
      </c>
      <c r="E157" s="58"/>
      <c r="F157" s="31" t="s">
        <v>16</v>
      </c>
      <c r="G157" s="31"/>
      <c r="H157" s="58">
        <v>2</v>
      </c>
      <c r="I157" s="60">
        <v>0.5</v>
      </c>
    </row>
    <row r="158" spans="1:9" ht="47.25" x14ac:dyDescent="0.25">
      <c r="A158" s="57"/>
      <c r="B158" s="59"/>
      <c r="C158" s="58" t="s">
        <v>14</v>
      </c>
      <c r="D158" s="31" t="s">
        <v>218</v>
      </c>
      <c r="E158" s="58"/>
      <c r="F158" s="31" t="s">
        <v>16</v>
      </c>
      <c r="G158" s="31"/>
      <c r="H158" s="58">
        <v>2</v>
      </c>
      <c r="I158" s="60">
        <v>0.5</v>
      </c>
    </row>
    <row r="159" spans="1:9" x14ac:dyDescent="0.25">
      <c r="A159" s="57">
        <v>7</v>
      </c>
      <c r="B159" s="59" t="s">
        <v>219</v>
      </c>
      <c r="C159" s="58"/>
      <c r="D159" s="31"/>
      <c r="E159" s="58"/>
      <c r="F159" s="31"/>
      <c r="G159" s="31"/>
      <c r="H159" s="58"/>
      <c r="I159" s="60"/>
    </row>
    <row r="160" spans="1:9" x14ac:dyDescent="0.25">
      <c r="A160" s="57"/>
      <c r="B160" s="59"/>
      <c r="C160" s="58" t="s">
        <v>14</v>
      </c>
      <c r="D160" s="31" t="s">
        <v>220</v>
      </c>
      <c r="E160" s="58"/>
      <c r="F160" s="31" t="s">
        <v>16</v>
      </c>
      <c r="G160" s="31"/>
      <c r="H160" s="58">
        <v>2</v>
      </c>
      <c r="I160" s="60">
        <v>0.5</v>
      </c>
    </row>
    <row r="161" spans="1:9" ht="31.5" x14ac:dyDescent="0.25">
      <c r="A161" s="57"/>
      <c r="B161" s="59"/>
      <c r="C161" s="58" t="s">
        <v>14</v>
      </c>
      <c r="D161" s="31" t="s">
        <v>221</v>
      </c>
      <c r="E161" s="58"/>
      <c r="F161" s="31" t="s">
        <v>16</v>
      </c>
      <c r="G161" s="31"/>
      <c r="H161" s="58">
        <v>1</v>
      </c>
      <c r="I161" s="60">
        <v>1</v>
      </c>
    </row>
    <row r="162" spans="1:9" ht="31.5" x14ac:dyDescent="0.25">
      <c r="A162" s="57"/>
      <c r="B162" s="59"/>
      <c r="C162" s="58" t="s">
        <v>14</v>
      </c>
      <c r="D162" s="31" t="s">
        <v>222</v>
      </c>
      <c r="E162" s="58"/>
      <c r="F162" s="31" t="s">
        <v>16</v>
      </c>
      <c r="G162" s="31"/>
      <c r="H162" s="58">
        <v>2</v>
      </c>
      <c r="I162" s="60">
        <v>0.25</v>
      </c>
    </row>
    <row r="163" spans="1:9" ht="47.25" x14ac:dyDescent="0.25">
      <c r="A163" s="57"/>
      <c r="B163" s="59"/>
      <c r="C163" s="58" t="s">
        <v>14</v>
      </c>
      <c r="D163" s="31" t="s">
        <v>223</v>
      </c>
      <c r="E163" s="58"/>
      <c r="F163" s="31" t="s">
        <v>16</v>
      </c>
      <c r="G163" s="31"/>
      <c r="H163" s="58">
        <v>2</v>
      </c>
      <c r="I163" s="60">
        <v>0.25</v>
      </c>
    </row>
    <row r="164" spans="1:9" ht="31.5" x14ac:dyDescent="0.25">
      <c r="A164" s="57"/>
      <c r="B164" s="59"/>
      <c r="C164" s="58" t="s">
        <v>14</v>
      </c>
      <c r="D164" s="31" t="s">
        <v>224</v>
      </c>
      <c r="E164" s="58"/>
      <c r="F164" s="31" t="s">
        <v>16</v>
      </c>
      <c r="G164" s="31"/>
      <c r="H164" s="58">
        <v>3</v>
      </c>
      <c r="I164" s="60">
        <v>2</v>
      </c>
    </row>
    <row r="165" spans="1:9" ht="31.5" x14ac:dyDescent="0.25">
      <c r="A165" s="57">
        <v>8</v>
      </c>
      <c r="B165" s="31" t="s">
        <v>225</v>
      </c>
      <c r="C165" s="58"/>
      <c r="D165" s="31"/>
      <c r="E165" s="58"/>
      <c r="F165" s="31"/>
      <c r="G165" s="31"/>
      <c r="H165" s="58"/>
      <c r="I165" s="60"/>
    </row>
    <row r="166" spans="1:9" ht="31.5" x14ac:dyDescent="0.25">
      <c r="A166" s="57"/>
      <c r="B166" s="59"/>
      <c r="C166" s="58" t="s">
        <v>14</v>
      </c>
      <c r="D166" s="31" t="s">
        <v>202</v>
      </c>
      <c r="E166" s="58"/>
      <c r="F166" s="31" t="s">
        <v>16</v>
      </c>
      <c r="G166" s="31"/>
      <c r="H166" s="58">
        <v>2</v>
      </c>
      <c r="I166" s="60">
        <v>0.25</v>
      </c>
    </row>
    <row r="167" spans="1:9" x14ac:dyDescent="0.25">
      <c r="A167" s="57"/>
      <c r="B167" s="59"/>
      <c r="C167" s="58" t="s">
        <v>14</v>
      </c>
      <c r="D167" s="31" t="s">
        <v>183</v>
      </c>
      <c r="E167" s="58"/>
      <c r="F167" s="31" t="s">
        <v>16</v>
      </c>
      <c r="G167" s="31"/>
      <c r="H167" s="58">
        <v>2</v>
      </c>
      <c r="I167" s="60">
        <v>0.5</v>
      </c>
    </row>
    <row r="168" spans="1:9" ht="47.25" x14ac:dyDescent="0.25">
      <c r="A168" s="57"/>
      <c r="B168" s="59"/>
      <c r="C168" s="58" t="s">
        <v>14</v>
      </c>
      <c r="D168" s="31" t="s">
        <v>176</v>
      </c>
      <c r="E168" s="58"/>
      <c r="F168" s="31" t="s">
        <v>16</v>
      </c>
      <c r="G168" s="31"/>
      <c r="H168" s="58">
        <v>2</v>
      </c>
      <c r="I168" s="60">
        <v>0.5</v>
      </c>
    </row>
    <row r="169" spans="1:9" ht="31.5" x14ac:dyDescent="0.25">
      <c r="A169" s="57"/>
      <c r="B169" s="59"/>
      <c r="C169" s="58" t="s">
        <v>14</v>
      </c>
      <c r="D169" s="31" t="s">
        <v>226</v>
      </c>
      <c r="E169" s="58"/>
      <c r="F169" s="31" t="s">
        <v>16</v>
      </c>
      <c r="G169" s="31"/>
      <c r="H169" s="58">
        <v>2</v>
      </c>
      <c r="I169" s="60">
        <v>1</v>
      </c>
    </row>
    <row r="170" spans="1:9" ht="31.5" x14ac:dyDescent="0.25">
      <c r="A170" s="57"/>
      <c r="B170" s="59"/>
      <c r="C170" s="58" t="s">
        <v>14</v>
      </c>
      <c r="D170" s="31" t="s">
        <v>227</v>
      </c>
      <c r="E170" s="58"/>
      <c r="F170" s="31" t="s">
        <v>16</v>
      </c>
      <c r="G170" s="31"/>
      <c r="H170" s="58">
        <v>1</v>
      </c>
      <c r="I170" s="60">
        <v>1</v>
      </c>
    </row>
    <row r="171" spans="1:9" ht="31.5" x14ac:dyDescent="0.25">
      <c r="A171" s="57"/>
      <c r="B171" s="59"/>
      <c r="C171" s="58" t="s">
        <v>14</v>
      </c>
      <c r="D171" s="31" t="s">
        <v>228</v>
      </c>
      <c r="E171" s="58"/>
      <c r="F171" s="31" t="s">
        <v>16</v>
      </c>
      <c r="G171" s="31"/>
      <c r="H171" s="58">
        <v>2</v>
      </c>
      <c r="I171" s="60">
        <v>0.5</v>
      </c>
    </row>
    <row r="172" spans="1:9" ht="31.5" x14ac:dyDescent="0.25">
      <c r="A172" s="57"/>
      <c r="B172" s="59"/>
      <c r="C172" s="58" t="s">
        <v>14</v>
      </c>
      <c r="D172" s="31" t="s">
        <v>229</v>
      </c>
      <c r="E172" s="58"/>
      <c r="F172" s="31" t="s">
        <v>16</v>
      </c>
      <c r="G172" s="31"/>
      <c r="H172" s="58">
        <v>2</v>
      </c>
      <c r="I172" s="60">
        <v>0.25</v>
      </c>
    </row>
    <row r="173" spans="1:9" x14ac:dyDescent="0.25">
      <c r="A173" s="57"/>
      <c r="B173" s="59"/>
      <c r="C173" s="58" t="s">
        <v>14</v>
      </c>
      <c r="D173" s="31" t="s">
        <v>230</v>
      </c>
      <c r="E173" s="58"/>
      <c r="F173" s="31" t="s">
        <v>16</v>
      </c>
      <c r="G173" s="31"/>
      <c r="H173" s="58">
        <v>2</v>
      </c>
      <c r="I173" s="60">
        <v>0.25</v>
      </c>
    </row>
    <row r="174" spans="1:9" ht="31.5" x14ac:dyDescent="0.25">
      <c r="A174" s="57"/>
      <c r="B174" s="59"/>
      <c r="C174" s="58" t="s">
        <v>14</v>
      </c>
      <c r="D174" s="31" t="s">
        <v>231</v>
      </c>
      <c r="E174" s="58"/>
      <c r="F174" s="31" t="s">
        <v>16</v>
      </c>
      <c r="G174" s="31"/>
      <c r="H174" s="58">
        <v>2</v>
      </c>
      <c r="I174" s="60">
        <v>0.25</v>
      </c>
    </row>
    <row r="175" spans="1:9" x14ac:dyDescent="0.25">
      <c r="A175" s="57">
        <v>9</v>
      </c>
      <c r="B175" s="59" t="s">
        <v>232</v>
      </c>
      <c r="C175" s="58"/>
      <c r="D175" s="31"/>
      <c r="E175" s="58"/>
      <c r="F175" s="31"/>
      <c r="G175" s="31"/>
      <c r="H175" s="58"/>
      <c r="I175" s="60"/>
    </row>
    <row r="176" spans="1:9" ht="31.5" x14ac:dyDescent="0.25">
      <c r="A176" s="57"/>
      <c r="B176" s="59"/>
      <c r="C176" s="58" t="s">
        <v>14</v>
      </c>
      <c r="D176" s="31" t="s">
        <v>233</v>
      </c>
      <c r="E176" s="58"/>
      <c r="F176" s="31" t="s">
        <v>16</v>
      </c>
      <c r="G176" s="31"/>
      <c r="H176" s="58">
        <v>2</v>
      </c>
      <c r="I176" s="60">
        <v>0.25</v>
      </c>
    </row>
    <row r="177" spans="1:9" ht="31.5" x14ac:dyDescent="0.25">
      <c r="A177" s="57"/>
      <c r="B177" s="59"/>
      <c r="C177" s="58" t="s">
        <v>14</v>
      </c>
      <c r="D177" s="31" t="s">
        <v>234</v>
      </c>
      <c r="E177" s="58"/>
      <c r="F177" s="31" t="s">
        <v>16</v>
      </c>
      <c r="G177" s="31"/>
      <c r="H177" s="58">
        <v>2</v>
      </c>
      <c r="I177" s="60">
        <v>0.25</v>
      </c>
    </row>
    <row r="178" spans="1:9" ht="31.5" x14ac:dyDescent="0.25">
      <c r="A178" s="57"/>
      <c r="B178" s="59"/>
      <c r="C178" s="58" t="s">
        <v>14</v>
      </c>
      <c r="D178" s="31" t="s">
        <v>235</v>
      </c>
      <c r="E178" s="58"/>
      <c r="F178" s="31" t="s">
        <v>16</v>
      </c>
      <c r="G178" s="31"/>
      <c r="H178" s="58">
        <v>2</v>
      </c>
      <c r="I178" s="60">
        <v>0.5</v>
      </c>
    </row>
    <row r="179" spans="1:9" ht="31.5" x14ac:dyDescent="0.25">
      <c r="A179" s="57"/>
      <c r="B179" s="59"/>
      <c r="C179" s="58" t="s">
        <v>14</v>
      </c>
      <c r="D179" s="31" t="s">
        <v>231</v>
      </c>
      <c r="E179" s="58"/>
      <c r="F179" s="31" t="s">
        <v>16</v>
      </c>
      <c r="G179" s="31"/>
      <c r="H179" s="58">
        <v>2</v>
      </c>
      <c r="I179" s="60">
        <v>0.5</v>
      </c>
    </row>
    <row r="180" spans="1:9" ht="31.5" x14ac:dyDescent="0.25">
      <c r="A180" s="57"/>
      <c r="B180" s="59"/>
      <c r="C180" s="58" t="s">
        <v>14</v>
      </c>
      <c r="D180" s="31" t="s">
        <v>236</v>
      </c>
      <c r="E180" s="58"/>
      <c r="F180" s="31" t="s">
        <v>16</v>
      </c>
      <c r="G180" s="31"/>
      <c r="H180" s="58">
        <v>2</v>
      </c>
      <c r="I180" s="60">
        <v>0.5</v>
      </c>
    </row>
    <row r="181" spans="1:9" ht="31.5" x14ac:dyDescent="0.25">
      <c r="A181" s="57"/>
      <c r="B181" s="59"/>
      <c r="C181" s="58" t="s">
        <v>14</v>
      </c>
      <c r="D181" s="31" t="s">
        <v>228</v>
      </c>
      <c r="E181" s="58"/>
      <c r="F181" s="31" t="s">
        <v>16</v>
      </c>
      <c r="G181" s="31"/>
      <c r="H181" s="58">
        <v>2</v>
      </c>
      <c r="I181" s="60">
        <v>0.5</v>
      </c>
    </row>
    <row r="182" spans="1:9" ht="31.5" x14ac:dyDescent="0.25">
      <c r="A182" s="57"/>
      <c r="B182" s="59"/>
      <c r="C182" s="58" t="s">
        <v>14</v>
      </c>
      <c r="D182" s="31" t="s">
        <v>237</v>
      </c>
      <c r="E182" s="58"/>
      <c r="F182" s="31" t="s">
        <v>238</v>
      </c>
      <c r="G182" s="31"/>
      <c r="H182" s="58">
        <v>3</v>
      </c>
      <c r="I182" s="60">
        <v>2</v>
      </c>
    </row>
    <row r="183" spans="1:9" ht="31.5" x14ac:dyDescent="0.25">
      <c r="A183" s="57">
        <v>10</v>
      </c>
      <c r="B183" s="31" t="s">
        <v>239</v>
      </c>
      <c r="C183" s="58"/>
      <c r="D183" s="31"/>
      <c r="E183" s="58"/>
      <c r="F183" s="31"/>
      <c r="G183" s="31"/>
      <c r="H183" s="58"/>
      <c r="I183" s="60"/>
    </row>
    <row r="184" spans="1:9" x14ac:dyDescent="0.25">
      <c r="A184" s="57"/>
      <c r="B184" s="59"/>
      <c r="C184" s="58" t="s">
        <v>14</v>
      </c>
      <c r="D184" s="31" t="s">
        <v>240</v>
      </c>
      <c r="E184" s="58"/>
      <c r="F184" s="31" t="s">
        <v>16</v>
      </c>
      <c r="G184" s="31"/>
      <c r="H184" s="58">
        <v>2</v>
      </c>
      <c r="I184" s="60">
        <v>0.25</v>
      </c>
    </row>
    <row r="185" spans="1:9" x14ac:dyDescent="0.25">
      <c r="A185" s="57"/>
      <c r="B185" s="59"/>
      <c r="C185" s="58" t="s">
        <v>14</v>
      </c>
      <c r="D185" s="31" t="s">
        <v>241</v>
      </c>
      <c r="E185" s="58"/>
      <c r="F185" s="31" t="s">
        <v>16</v>
      </c>
      <c r="G185" s="31"/>
      <c r="H185" s="58">
        <v>2</v>
      </c>
      <c r="I185" s="60">
        <v>0.5</v>
      </c>
    </row>
    <row r="186" spans="1:9" ht="31.5" x14ac:dyDescent="0.25">
      <c r="A186" s="57"/>
      <c r="B186" s="59"/>
      <c r="C186" s="58" t="s">
        <v>14</v>
      </c>
      <c r="D186" s="31" t="s">
        <v>242</v>
      </c>
      <c r="E186" s="58"/>
      <c r="F186" s="31" t="s">
        <v>16</v>
      </c>
      <c r="G186" s="31"/>
      <c r="H186" s="58">
        <v>1</v>
      </c>
      <c r="I186" s="60">
        <v>0.75</v>
      </c>
    </row>
    <row r="187" spans="1:9" ht="31.5" x14ac:dyDescent="0.25">
      <c r="A187" s="57"/>
      <c r="B187" s="59"/>
      <c r="C187" s="58" t="s">
        <v>14</v>
      </c>
      <c r="D187" s="31" t="s">
        <v>243</v>
      </c>
      <c r="E187" s="58"/>
      <c r="F187" s="31" t="s">
        <v>16</v>
      </c>
      <c r="G187" s="31"/>
      <c r="H187" s="58">
        <v>2</v>
      </c>
      <c r="I187" s="60">
        <v>0.25</v>
      </c>
    </row>
    <row r="188" spans="1:9" x14ac:dyDescent="0.25">
      <c r="A188" s="57"/>
      <c r="B188" s="59"/>
      <c r="C188" s="58" t="s">
        <v>14</v>
      </c>
      <c r="D188" s="31" t="s">
        <v>244</v>
      </c>
      <c r="E188" s="58"/>
      <c r="F188" s="31" t="s">
        <v>16</v>
      </c>
      <c r="G188" s="31"/>
      <c r="H188" s="58">
        <v>2</v>
      </c>
      <c r="I188" s="60">
        <v>0.5</v>
      </c>
    </row>
    <row r="189" spans="1:9" ht="31.5" x14ac:dyDescent="0.25">
      <c r="A189" s="57"/>
      <c r="B189" s="59"/>
      <c r="C189" s="58" t="s">
        <v>14</v>
      </c>
      <c r="D189" s="31" t="s">
        <v>245</v>
      </c>
      <c r="E189" s="58"/>
      <c r="F189" s="31" t="s">
        <v>238</v>
      </c>
      <c r="G189" s="31"/>
      <c r="H189" s="58">
        <v>3</v>
      </c>
      <c r="I189" s="60">
        <v>2</v>
      </c>
    </row>
    <row r="190" spans="1:9" x14ac:dyDescent="0.25">
      <c r="A190" s="57">
        <v>11</v>
      </c>
      <c r="B190" s="59" t="s">
        <v>60</v>
      </c>
      <c r="C190" s="58"/>
      <c r="D190" s="31"/>
      <c r="E190" s="58"/>
      <c r="F190" s="31"/>
      <c r="G190" s="31"/>
      <c r="H190" s="58"/>
      <c r="I190" s="60"/>
    </row>
    <row r="191" spans="1:9" x14ac:dyDescent="0.25">
      <c r="A191" s="57"/>
      <c r="B191" s="59"/>
      <c r="C191" s="52" t="s">
        <v>18</v>
      </c>
      <c r="D191" s="53" t="s">
        <v>61</v>
      </c>
      <c r="E191" s="52"/>
      <c r="F191" s="53"/>
      <c r="G191" s="31"/>
      <c r="H191" s="58">
        <v>2</v>
      </c>
      <c r="I191" s="60">
        <v>2</v>
      </c>
    </row>
    <row r="192" spans="1:9" x14ac:dyDescent="0.25">
      <c r="A192" s="57"/>
      <c r="B192" s="59"/>
      <c r="C192" s="52"/>
      <c r="D192" s="53"/>
      <c r="E192" s="52">
        <v>0</v>
      </c>
      <c r="F192" s="53" t="s">
        <v>246</v>
      </c>
      <c r="G192" s="31"/>
      <c r="H192" s="58"/>
      <c r="I192" s="60"/>
    </row>
    <row r="193" spans="1:9" x14ac:dyDescent="0.25">
      <c r="A193" s="57"/>
      <c r="B193" s="59"/>
      <c r="C193" s="52"/>
      <c r="D193" s="53"/>
      <c r="E193" s="52">
        <v>1</v>
      </c>
      <c r="F193" s="53" t="s">
        <v>62</v>
      </c>
      <c r="G193" s="31"/>
      <c r="H193" s="58"/>
      <c r="I193" s="60"/>
    </row>
    <row r="194" spans="1:9" ht="31.5" x14ac:dyDescent="0.25">
      <c r="A194" s="57"/>
      <c r="B194" s="59"/>
      <c r="C194" s="52"/>
      <c r="D194" s="53"/>
      <c r="E194" s="52">
        <v>2</v>
      </c>
      <c r="F194" s="53" t="s">
        <v>63</v>
      </c>
      <c r="G194" s="31"/>
      <c r="H194" s="58"/>
      <c r="I194" s="60"/>
    </row>
    <row r="195" spans="1:9" ht="31.5" x14ac:dyDescent="0.25">
      <c r="A195" s="57"/>
      <c r="B195" s="59"/>
      <c r="C195" s="52"/>
      <c r="D195" s="53"/>
      <c r="E195" s="52">
        <v>3</v>
      </c>
      <c r="F195" s="53" t="s">
        <v>64</v>
      </c>
      <c r="G195" s="54"/>
      <c r="H195" s="58"/>
      <c r="I195" s="55"/>
    </row>
    <row r="196" spans="1:9" x14ac:dyDescent="0.25">
      <c r="A196" s="57"/>
      <c r="B196" s="59"/>
      <c r="C196" s="52" t="s">
        <v>14</v>
      </c>
      <c r="D196" s="53" t="s">
        <v>65</v>
      </c>
      <c r="E196" s="52"/>
      <c r="F196" s="31" t="s">
        <v>16</v>
      </c>
      <c r="G196" s="54"/>
      <c r="H196" s="58">
        <v>2</v>
      </c>
      <c r="I196" s="55">
        <v>1</v>
      </c>
    </row>
    <row r="197" spans="1:9" x14ac:dyDescent="0.25">
      <c r="A197" s="57"/>
      <c r="B197" s="59"/>
      <c r="C197" s="52" t="s">
        <v>18</v>
      </c>
      <c r="D197" s="53" t="s">
        <v>66</v>
      </c>
      <c r="E197" s="52"/>
      <c r="F197" s="53"/>
      <c r="G197" s="54"/>
      <c r="H197" s="58">
        <v>2</v>
      </c>
      <c r="I197" s="55">
        <v>2</v>
      </c>
    </row>
    <row r="198" spans="1:9" x14ac:dyDescent="0.25">
      <c r="A198" s="57"/>
      <c r="B198" s="59"/>
      <c r="C198" s="52"/>
      <c r="D198" s="53"/>
      <c r="E198" s="52">
        <v>0</v>
      </c>
      <c r="F198" s="53" t="s">
        <v>247</v>
      </c>
      <c r="G198" s="54"/>
      <c r="H198" s="58"/>
      <c r="I198" s="55"/>
    </row>
    <row r="199" spans="1:9" x14ac:dyDescent="0.25">
      <c r="A199" s="57"/>
      <c r="B199" s="59"/>
      <c r="C199" s="52"/>
      <c r="D199" s="53"/>
      <c r="E199" s="52">
        <v>1</v>
      </c>
      <c r="F199" s="53" t="s">
        <v>67</v>
      </c>
      <c r="G199" s="54"/>
      <c r="H199" s="58"/>
      <c r="I199" s="55"/>
    </row>
    <row r="200" spans="1:9" ht="31.5" x14ac:dyDescent="0.25">
      <c r="A200" s="57"/>
      <c r="B200" s="59"/>
      <c r="C200" s="52"/>
      <c r="D200" s="53"/>
      <c r="E200" s="52">
        <v>2</v>
      </c>
      <c r="F200" s="53" t="s">
        <v>248</v>
      </c>
      <c r="G200" s="54"/>
      <c r="H200" s="58"/>
      <c r="I200" s="55"/>
    </row>
    <row r="201" spans="1:9" ht="31.5" x14ac:dyDescent="0.25">
      <c r="A201" s="57"/>
      <c r="B201" s="59"/>
      <c r="C201" s="52"/>
      <c r="D201" s="53"/>
      <c r="E201" s="52">
        <v>3</v>
      </c>
      <c r="F201" s="53" t="s">
        <v>249</v>
      </c>
      <c r="G201" s="31"/>
      <c r="H201" s="58"/>
      <c r="I201" s="58"/>
    </row>
    <row r="202" spans="1:9" x14ac:dyDescent="0.25">
      <c r="A202" s="57"/>
      <c r="B202" s="59"/>
      <c r="C202" s="52" t="s">
        <v>18</v>
      </c>
      <c r="D202" s="53" t="s">
        <v>68</v>
      </c>
      <c r="E202" s="52"/>
      <c r="F202" s="53"/>
      <c r="G202" s="31"/>
      <c r="H202" s="58">
        <v>1</v>
      </c>
      <c r="I202" s="60">
        <v>2</v>
      </c>
    </row>
    <row r="203" spans="1:9" x14ac:dyDescent="0.25">
      <c r="A203" s="57"/>
      <c r="B203" s="59"/>
      <c r="C203" s="52"/>
      <c r="D203" s="53"/>
      <c r="E203" s="52">
        <v>0</v>
      </c>
      <c r="F203" s="53" t="s">
        <v>69</v>
      </c>
      <c r="G203" s="31"/>
      <c r="H203" s="58"/>
      <c r="I203" s="58"/>
    </row>
    <row r="204" spans="1:9" x14ac:dyDescent="0.25">
      <c r="A204" s="57"/>
      <c r="B204" s="59"/>
      <c r="C204" s="52"/>
      <c r="D204" s="53"/>
      <c r="E204" s="52">
        <v>1</v>
      </c>
      <c r="F204" s="53" t="s">
        <v>70</v>
      </c>
      <c r="G204" s="31"/>
      <c r="H204" s="58"/>
      <c r="I204" s="58"/>
    </row>
    <row r="205" spans="1:9" x14ac:dyDescent="0.25">
      <c r="A205" s="57"/>
      <c r="B205" s="59"/>
      <c r="C205" s="52"/>
      <c r="D205" s="53"/>
      <c r="E205" s="52">
        <v>2</v>
      </c>
      <c r="F205" s="53" t="s">
        <v>71</v>
      </c>
      <c r="G205" s="31"/>
      <c r="H205" s="58"/>
      <c r="I205" s="58"/>
    </row>
    <row r="206" spans="1:9" ht="31.5" x14ac:dyDescent="0.25">
      <c r="A206" s="57"/>
      <c r="B206" s="59"/>
      <c r="C206" s="52"/>
      <c r="D206" s="53"/>
      <c r="E206" s="52">
        <v>3</v>
      </c>
      <c r="F206" s="53" t="s">
        <v>72</v>
      </c>
      <c r="G206" s="31"/>
      <c r="H206" s="58"/>
      <c r="I206" s="58"/>
    </row>
    <row r="207" spans="1:9" x14ac:dyDescent="0.25">
      <c r="A207" s="57">
        <v>12</v>
      </c>
      <c r="B207" s="59" t="s">
        <v>250</v>
      </c>
      <c r="C207" s="52"/>
      <c r="D207" s="53"/>
      <c r="E207" s="52"/>
      <c r="F207" s="53"/>
      <c r="G207" s="31"/>
      <c r="H207" s="58"/>
      <c r="I207" s="58"/>
    </row>
    <row r="208" spans="1:9" x14ac:dyDescent="0.25">
      <c r="A208" s="57"/>
      <c r="B208" s="59"/>
      <c r="C208" s="52" t="s">
        <v>14</v>
      </c>
      <c r="D208" s="53" t="s">
        <v>73</v>
      </c>
      <c r="E208" s="52"/>
      <c r="F208" s="53" t="s">
        <v>16</v>
      </c>
      <c r="G208" s="31"/>
      <c r="H208" s="58">
        <v>2</v>
      </c>
      <c r="I208" s="60">
        <v>1.5</v>
      </c>
    </row>
    <row r="209" spans="1:9" x14ac:dyDescent="0.25">
      <c r="A209" s="57"/>
      <c r="B209" s="59"/>
      <c r="C209" s="52" t="s">
        <v>14</v>
      </c>
      <c r="D209" s="53" t="s">
        <v>74</v>
      </c>
      <c r="E209" s="52"/>
      <c r="F209" s="53" t="s">
        <v>16</v>
      </c>
      <c r="G209" s="31"/>
      <c r="H209" s="58">
        <v>2</v>
      </c>
      <c r="I209" s="60">
        <v>1</v>
      </c>
    </row>
    <row r="210" spans="1:9" x14ac:dyDescent="0.25">
      <c r="A210" s="57"/>
      <c r="B210" s="59"/>
      <c r="C210" s="52" t="s">
        <v>18</v>
      </c>
      <c r="D210" s="53" t="s">
        <v>75</v>
      </c>
      <c r="E210" s="52"/>
      <c r="F210" s="53"/>
      <c r="G210" s="31"/>
      <c r="H210" s="58">
        <v>2</v>
      </c>
      <c r="I210" s="60">
        <v>1</v>
      </c>
    </row>
    <row r="211" spans="1:9" x14ac:dyDescent="0.25">
      <c r="A211" s="57"/>
      <c r="B211" s="59"/>
      <c r="C211" s="52"/>
      <c r="D211" s="53"/>
      <c r="E211" s="52">
        <v>0</v>
      </c>
      <c r="F211" s="53" t="s">
        <v>76</v>
      </c>
      <c r="G211" s="31"/>
      <c r="H211" s="58"/>
      <c r="I211" s="58"/>
    </row>
    <row r="212" spans="1:9" x14ac:dyDescent="0.25">
      <c r="A212" s="57"/>
      <c r="B212" s="59"/>
      <c r="C212" s="52"/>
      <c r="D212" s="53"/>
      <c r="E212" s="52">
        <v>1</v>
      </c>
      <c r="F212" s="53" t="s">
        <v>77</v>
      </c>
      <c r="G212" s="31"/>
      <c r="H212" s="58"/>
      <c r="I212" s="58"/>
    </row>
    <row r="213" spans="1:9" ht="31.5" x14ac:dyDescent="0.25">
      <c r="A213" s="57"/>
      <c r="B213" s="59"/>
      <c r="C213" s="52"/>
      <c r="D213" s="53"/>
      <c r="E213" s="52">
        <v>2</v>
      </c>
      <c r="F213" s="53" t="s">
        <v>251</v>
      </c>
      <c r="G213" s="31"/>
      <c r="H213" s="58"/>
      <c r="I213" s="58"/>
    </row>
    <row r="214" spans="1:9" ht="31.5" x14ac:dyDescent="0.25">
      <c r="A214" s="57"/>
      <c r="B214" s="59"/>
      <c r="C214" s="52"/>
      <c r="D214" s="53"/>
      <c r="E214" s="52">
        <v>3</v>
      </c>
      <c r="F214" s="53" t="s">
        <v>252</v>
      </c>
      <c r="G214" s="31"/>
      <c r="H214" s="58"/>
      <c r="I214" s="58"/>
    </row>
    <row r="215" spans="1:9" x14ac:dyDescent="0.25">
      <c r="A215" s="41" t="s">
        <v>78</v>
      </c>
      <c r="B215" s="9" t="s">
        <v>79</v>
      </c>
      <c r="C215" s="36"/>
      <c r="D215" s="34"/>
      <c r="E215" s="36"/>
      <c r="F215" s="34"/>
      <c r="G215" s="34"/>
      <c r="H215" s="36"/>
      <c r="I215" s="38">
        <f>SUM(I217:I222)</f>
        <v>8.25</v>
      </c>
    </row>
    <row r="216" spans="1:9" x14ac:dyDescent="0.25">
      <c r="A216" s="14">
        <v>1</v>
      </c>
      <c r="B216" s="37" t="s">
        <v>79</v>
      </c>
      <c r="C216" s="11"/>
      <c r="D216" s="32"/>
      <c r="E216" s="11"/>
      <c r="F216" s="32"/>
      <c r="G216" s="32"/>
      <c r="H216" s="11"/>
      <c r="I216" s="39"/>
    </row>
    <row r="217" spans="1:9" x14ac:dyDescent="0.25">
      <c r="A217" s="59"/>
      <c r="B217" s="59"/>
      <c r="C217" s="11" t="s">
        <v>14</v>
      </c>
      <c r="D217" s="12" t="s">
        <v>123</v>
      </c>
      <c r="E217" s="13"/>
      <c r="F217" s="33" t="s">
        <v>16</v>
      </c>
      <c r="G217" s="31"/>
      <c r="H217" s="13">
        <v>2</v>
      </c>
      <c r="I217" s="25">
        <v>1</v>
      </c>
    </row>
    <row r="218" spans="1:9" ht="31.5" x14ac:dyDescent="0.25">
      <c r="A218" s="59"/>
      <c r="B218" s="59"/>
      <c r="C218" s="11" t="s">
        <v>14</v>
      </c>
      <c r="D218" s="12" t="s">
        <v>165</v>
      </c>
      <c r="E218" s="16"/>
      <c r="F218" s="33" t="s">
        <v>16</v>
      </c>
      <c r="G218" s="31"/>
      <c r="H218" s="16">
        <v>2</v>
      </c>
      <c r="I218" s="25">
        <v>1.25</v>
      </c>
    </row>
    <row r="219" spans="1:9" x14ac:dyDescent="0.25">
      <c r="A219" s="11"/>
      <c r="B219" s="59"/>
      <c r="C219" s="11" t="s">
        <v>14</v>
      </c>
      <c r="D219" s="15" t="s">
        <v>113</v>
      </c>
      <c r="E219" s="16"/>
      <c r="F219" s="18" t="s">
        <v>16</v>
      </c>
      <c r="G219" s="31"/>
      <c r="H219" s="16">
        <v>2</v>
      </c>
      <c r="I219" s="25">
        <v>2</v>
      </c>
    </row>
    <row r="220" spans="1:9" x14ac:dyDescent="0.25">
      <c r="A220" s="11"/>
      <c r="B220" s="32"/>
      <c r="C220" s="11" t="s">
        <v>14</v>
      </c>
      <c r="D220" s="15" t="s">
        <v>112</v>
      </c>
      <c r="E220" s="16"/>
      <c r="F220" s="18" t="s">
        <v>16</v>
      </c>
      <c r="G220" s="31"/>
      <c r="H220" s="16">
        <v>2</v>
      </c>
      <c r="I220" s="25">
        <v>2</v>
      </c>
    </row>
    <row r="221" spans="1:9" x14ac:dyDescent="0.25">
      <c r="A221" s="14"/>
      <c r="B221" s="15"/>
      <c r="C221" s="16" t="s">
        <v>14</v>
      </c>
      <c r="D221" s="15" t="s">
        <v>110</v>
      </c>
      <c r="E221" s="16"/>
      <c r="F221" s="18" t="s">
        <v>16</v>
      </c>
      <c r="G221" s="31"/>
      <c r="H221" s="16">
        <v>2</v>
      </c>
      <c r="I221" s="25">
        <v>1</v>
      </c>
    </row>
    <row r="222" spans="1:9" x14ac:dyDescent="0.25">
      <c r="A222" s="14"/>
      <c r="B222" s="15"/>
      <c r="C222" s="16" t="s">
        <v>14</v>
      </c>
      <c r="D222" s="15" t="s">
        <v>111</v>
      </c>
      <c r="E222" s="16"/>
      <c r="F222" s="18" t="s">
        <v>16</v>
      </c>
      <c r="G222" s="59"/>
      <c r="H222" s="16">
        <v>2</v>
      </c>
      <c r="I222" s="25">
        <v>1</v>
      </c>
    </row>
    <row r="223" spans="1:9" ht="31.5" x14ac:dyDescent="0.25">
      <c r="A223" s="41" t="s">
        <v>80</v>
      </c>
      <c r="B223" s="9" t="s">
        <v>81</v>
      </c>
      <c r="C223" s="23"/>
      <c r="D223" s="23"/>
      <c r="E223" s="23"/>
      <c r="F223" s="23"/>
      <c r="G223" s="34"/>
      <c r="H223" s="34"/>
      <c r="I223" s="38">
        <f>SUM(I224:I232)</f>
        <v>5.5</v>
      </c>
    </row>
    <row r="224" spans="1:9" x14ac:dyDescent="0.25">
      <c r="A224" s="26">
        <v>1</v>
      </c>
      <c r="B224" s="12" t="s">
        <v>82</v>
      </c>
      <c r="C224" s="13"/>
      <c r="D224" s="12"/>
      <c r="E224" s="13"/>
      <c r="F224" s="33"/>
      <c r="G224" s="32"/>
      <c r="H224" s="13"/>
      <c r="I224" s="25"/>
    </row>
    <row r="225" spans="1:9" x14ac:dyDescent="0.25">
      <c r="A225" s="59"/>
      <c r="B225" s="59"/>
      <c r="C225" s="16" t="s">
        <v>14</v>
      </c>
      <c r="D225" s="15" t="s">
        <v>142</v>
      </c>
      <c r="E225" s="16"/>
      <c r="F225" s="18" t="s">
        <v>16</v>
      </c>
      <c r="G225" s="32"/>
      <c r="H225" s="16">
        <v>3</v>
      </c>
      <c r="I225" s="17">
        <v>0.5</v>
      </c>
    </row>
    <row r="226" spans="1:9" x14ac:dyDescent="0.25">
      <c r="A226" s="24"/>
      <c r="B226" s="32"/>
      <c r="C226" s="16" t="s">
        <v>14</v>
      </c>
      <c r="D226" s="15" t="s">
        <v>143</v>
      </c>
      <c r="E226" s="16"/>
      <c r="F226" s="18" t="s">
        <v>16</v>
      </c>
      <c r="G226" s="32"/>
      <c r="H226" s="16">
        <v>3</v>
      </c>
      <c r="I226" s="17">
        <v>1</v>
      </c>
    </row>
    <row r="227" spans="1:9" x14ac:dyDescent="0.25">
      <c r="A227" s="26"/>
      <c r="B227" s="15"/>
      <c r="C227" s="16" t="s">
        <v>14</v>
      </c>
      <c r="D227" s="15" t="s">
        <v>144</v>
      </c>
      <c r="E227" s="16"/>
      <c r="F227" s="32" t="s">
        <v>16</v>
      </c>
      <c r="G227" s="32"/>
      <c r="H227" s="11">
        <v>3</v>
      </c>
      <c r="I227" s="40">
        <v>2</v>
      </c>
    </row>
    <row r="228" spans="1:9" x14ac:dyDescent="0.25">
      <c r="A228" s="26"/>
      <c r="B228" s="15"/>
      <c r="C228" s="16" t="s">
        <v>18</v>
      </c>
      <c r="D228" s="15" t="s">
        <v>145</v>
      </c>
      <c r="E228" s="16"/>
      <c r="F228" s="32"/>
      <c r="G228" s="59"/>
      <c r="H228" s="11">
        <v>3</v>
      </c>
      <c r="I228" s="40">
        <v>2</v>
      </c>
    </row>
    <row r="229" spans="1:9" x14ac:dyDescent="0.25">
      <c r="A229" s="15"/>
      <c r="B229" s="15"/>
      <c r="C229" s="16"/>
      <c r="D229" s="15"/>
      <c r="E229" s="16">
        <v>0</v>
      </c>
      <c r="F229" s="32" t="s">
        <v>146</v>
      </c>
      <c r="G229" s="32"/>
      <c r="H229" s="59"/>
      <c r="I229" s="59"/>
    </row>
    <row r="230" spans="1:9" ht="31.5" x14ac:dyDescent="0.25">
      <c r="A230" s="24"/>
      <c r="B230" s="15"/>
      <c r="C230" s="16"/>
      <c r="D230" s="15"/>
      <c r="E230" s="16">
        <v>1</v>
      </c>
      <c r="F230" s="32" t="s">
        <v>147</v>
      </c>
      <c r="G230" s="32"/>
      <c r="H230" s="59"/>
      <c r="I230" s="59"/>
    </row>
    <row r="231" spans="1:9" ht="31.5" x14ac:dyDescent="0.25">
      <c r="A231" s="26"/>
      <c r="B231" s="15"/>
      <c r="C231" s="16"/>
      <c r="D231" s="15"/>
      <c r="E231" s="16">
        <v>2</v>
      </c>
      <c r="F231" s="32" t="s">
        <v>148</v>
      </c>
      <c r="G231" s="32"/>
      <c r="H231" s="59"/>
      <c r="I231" s="59"/>
    </row>
    <row r="232" spans="1:9" ht="47.25" x14ac:dyDescent="0.25">
      <c r="A232" s="26"/>
      <c r="B232" s="15"/>
      <c r="C232" s="16"/>
      <c r="D232" s="15"/>
      <c r="E232" s="16">
        <v>3</v>
      </c>
      <c r="F232" s="32" t="s">
        <v>149</v>
      </c>
      <c r="G232" s="32"/>
      <c r="H232" s="59"/>
      <c r="I232" s="59"/>
    </row>
    <row r="233" spans="1:9" x14ac:dyDescent="0.25">
      <c r="A233" s="41" t="s">
        <v>83</v>
      </c>
      <c r="B233" s="35" t="s">
        <v>84</v>
      </c>
      <c r="C233" s="36"/>
      <c r="D233" s="23"/>
      <c r="E233" s="22"/>
      <c r="F233" s="23"/>
      <c r="G233" s="34"/>
      <c r="H233" s="36"/>
      <c r="I233" s="38">
        <f>SUM(I235:I270)</f>
        <v>15.75</v>
      </c>
    </row>
    <row r="234" spans="1:9" ht="31.5" x14ac:dyDescent="0.25">
      <c r="A234" s="24">
        <v>1</v>
      </c>
      <c r="B234" s="32" t="s">
        <v>85</v>
      </c>
      <c r="C234" s="11"/>
      <c r="D234" s="12"/>
      <c r="E234" s="13"/>
      <c r="F234" s="33"/>
      <c r="G234" s="32"/>
      <c r="H234" s="11"/>
      <c r="I234" s="40"/>
    </row>
    <row r="235" spans="1:9" x14ac:dyDescent="0.25">
      <c r="A235" s="59"/>
      <c r="B235" s="59"/>
      <c r="C235" s="11" t="s">
        <v>14</v>
      </c>
      <c r="D235" s="15" t="s">
        <v>86</v>
      </c>
      <c r="E235" s="16"/>
      <c r="F235" s="18" t="s">
        <v>16</v>
      </c>
      <c r="G235" s="32"/>
      <c r="H235" s="16">
        <v>4</v>
      </c>
      <c r="I235" s="17">
        <v>0.2</v>
      </c>
    </row>
    <row r="236" spans="1:9" x14ac:dyDescent="0.25">
      <c r="A236" s="24"/>
      <c r="B236" s="32"/>
      <c r="C236" s="16" t="s">
        <v>14</v>
      </c>
      <c r="D236" s="15" t="s">
        <v>114</v>
      </c>
      <c r="E236" s="16"/>
      <c r="F236" s="18" t="s">
        <v>16</v>
      </c>
      <c r="G236" s="32"/>
      <c r="H236" s="16">
        <v>4</v>
      </c>
      <c r="I236" s="17">
        <v>0.1</v>
      </c>
    </row>
    <row r="237" spans="1:9" x14ac:dyDescent="0.25">
      <c r="A237" s="26"/>
      <c r="B237" s="15"/>
      <c r="C237" s="16" t="s">
        <v>14</v>
      </c>
      <c r="D237" s="15" t="s">
        <v>87</v>
      </c>
      <c r="E237" s="16"/>
      <c r="F237" s="15" t="s">
        <v>16</v>
      </c>
      <c r="G237" s="15"/>
      <c r="H237" s="16">
        <v>4</v>
      </c>
      <c r="I237" s="17">
        <v>0.15</v>
      </c>
    </row>
    <row r="238" spans="1:9" x14ac:dyDescent="0.25">
      <c r="A238" s="26"/>
      <c r="B238" s="15"/>
      <c r="C238" s="16" t="s">
        <v>14</v>
      </c>
      <c r="D238" s="15" t="s">
        <v>88</v>
      </c>
      <c r="E238" s="16"/>
      <c r="F238" s="15" t="s">
        <v>16</v>
      </c>
      <c r="G238" s="59"/>
      <c r="H238" s="11">
        <v>4</v>
      </c>
      <c r="I238" s="17">
        <v>0.15</v>
      </c>
    </row>
    <row r="239" spans="1:9" x14ac:dyDescent="0.25">
      <c r="A239" s="46"/>
      <c r="B239" s="32"/>
      <c r="C239" s="16" t="s">
        <v>14</v>
      </c>
      <c r="D239" s="15" t="s">
        <v>89</v>
      </c>
      <c r="E239" s="16"/>
      <c r="F239" s="15" t="s">
        <v>16</v>
      </c>
      <c r="G239" s="12"/>
      <c r="H239" s="16">
        <v>4</v>
      </c>
      <c r="I239" s="17">
        <v>0.15</v>
      </c>
    </row>
    <row r="240" spans="1:9" ht="31.5" x14ac:dyDescent="0.25">
      <c r="A240" s="11"/>
      <c r="B240" s="15"/>
      <c r="C240" s="16" t="s">
        <v>14</v>
      </c>
      <c r="D240" s="15" t="s">
        <v>90</v>
      </c>
      <c r="E240" s="16"/>
      <c r="F240" s="15" t="s">
        <v>16</v>
      </c>
      <c r="G240" s="15"/>
      <c r="H240" s="16">
        <v>4</v>
      </c>
      <c r="I240" s="17">
        <v>0.5</v>
      </c>
    </row>
    <row r="241" spans="1:9" ht="31.5" x14ac:dyDescent="0.25">
      <c r="A241" s="26"/>
      <c r="B241" s="15"/>
      <c r="C241" s="16" t="s">
        <v>14</v>
      </c>
      <c r="D241" s="15" t="s">
        <v>91</v>
      </c>
      <c r="E241" s="16"/>
      <c r="F241" s="15" t="s">
        <v>16</v>
      </c>
      <c r="G241" s="15"/>
      <c r="H241" s="16">
        <v>4</v>
      </c>
      <c r="I241" s="17">
        <v>0.5</v>
      </c>
    </row>
    <row r="242" spans="1:9" x14ac:dyDescent="0.25">
      <c r="A242" s="26"/>
      <c r="B242" s="15"/>
      <c r="C242" s="16" t="s">
        <v>18</v>
      </c>
      <c r="D242" s="15" t="s">
        <v>92</v>
      </c>
      <c r="E242" s="16"/>
      <c r="F242" s="15"/>
      <c r="G242" s="15"/>
      <c r="H242" s="11">
        <v>4</v>
      </c>
      <c r="I242" s="40">
        <v>2</v>
      </c>
    </row>
    <row r="243" spans="1:9" ht="78.75" x14ac:dyDescent="0.25">
      <c r="A243" s="26"/>
      <c r="B243" s="15"/>
      <c r="C243" s="16"/>
      <c r="D243" s="15"/>
      <c r="E243" s="16">
        <v>0</v>
      </c>
      <c r="F243" s="15" t="s">
        <v>161</v>
      </c>
      <c r="G243" s="15"/>
      <c r="H243" s="59"/>
      <c r="I243" s="59"/>
    </row>
    <row r="244" spans="1:9" ht="78.75" x14ac:dyDescent="0.25">
      <c r="A244" s="26"/>
      <c r="B244" s="15"/>
      <c r="C244" s="16"/>
      <c r="D244" s="15"/>
      <c r="E244" s="16">
        <v>1</v>
      </c>
      <c r="F244" s="15" t="s">
        <v>162</v>
      </c>
      <c r="G244" s="15"/>
      <c r="H244" s="59"/>
      <c r="I244" s="59"/>
    </row>
    <row r="245" spans="1:9" ht="78.75" x14ac:dyDescent="0.25">
      <c r="A245" s="26"/>
      <c r="B245" s="15"/>
      <c r="C245" s="16"/>
      <c r="D245" s="15"/>
      <c r="E245" s="16">
        <v>2</v>
      </c>
      <c r="F245" s="15" t="s">
        <v>164</v>
      </c>
      <c r="G245" s="15"/>
      <c r="H245" s="59"/>
      <c r="I245" s="59"/>
    </row>
    <row r="246" spans="1:9" ht="94.5" x14ac:dyDescent="0.25">
      <c r="A246" s="26"/>
      <c r="B246" s="15"/>
      <c r="C246" s="16"/>
      <c r="D246" s="15"/>
      <c r="E246" s="16">
        <v>3</v>
      </c>
      <c r="F246" s="15" t="s">
        <v>163</v>
      </c>
      <c r="G246" s="15"/>
      <c r="H246" s="59"/>
      <c r="I246" s="59"/>
    </row>
    <row r="247" spans="1:9" ht="31.5" x14ac:dyDescent="0.25">
      <c r="A247" s="26"/>
      <c r="B247" s="15"/>
      <c r="C247" s="16" t="s">
        <v>18</v>
      </c>
      <c r="D247" s="15" t="s">
        <v>93</v>
      </c>
      <c r="E247" s="16"/>
      <c r="F247" s="15"/>
      <c r="G247" s="15"/>
      <c r="H247" s="16">
        <v>4</v>
      </c>
      <c r="I247" s="17">
        <v>2</v>
      </c>
    </row>
    <row r="248" spans="1:9" ht="47.25" x14ac:dyDescent="0.25">
      <c r="A248" s="26"/>
      <c r="B248" s="15"/>
      <c r="C248" s="16"/>
      <c r="D248" s="15"/>
      <c r="E248" s="16">
        <v>0</v>
      </c>
      <c r="F248" s="15" t="s">
        <v>160</v>
      </c>
      <c r="G248" s="15"/>
      <c r="H248" s="16"/>
      <c r="I248" s="17"/>
    </row>
    <row r="249" spans="1:9" ht="63" x14ac:dyDescent="0.25">
      <c r="A249" s="26"/>
      <c r="B249" s="15"/>
      <c r="C249" s="16"/>
      <c r="D249" s="15"/>
      <c r="E249" s="16">
        <v>1</v>
      </c>
      <c r="F249" s="15" t="s">
        <v>159</v>
      </c>
      <c r="G249" s="15"/>
      <c r="H249" s="16"/>
      <c r="I249" s="17"/>
    </row>
    <row r="250" spans="1:9" ht="63" x14ac:dyDescent="0.25">
      <c r="A250" s="26"/>
      <c r="B250" s="15"/>
      <c r="C250" s="16"/>
      <c r="D250" s="15"/>
      <c r="E250" s="16">
        <v>2</v>
      </c>
      <c r="F250" s="15" t="s">
        <v>158</v>
      </c>
      <c r="G250" s="15"/>
      <c r="H250" s="16"/>
      <c r="I250" s="17"/>
    </row>
    <row r="251" spans="1:9" ht="63" x14ac:dyDescent="0.25">
      <c r="A251" s="26"/>
      <c r="B251" s="15"/>
      <c r="C251" s="16"/>
      <c r="D251" s="15"/>
      <c r="E251" s="16">
        <v>3</v>
      </c>
      <c r="F251" s="15" t="s">
        <v>157</v>
      </c>
      <c r="G251" s="15"/>
      <c r="H251" s="16"/>
      <c r="I251" s="17"/>
    </row>
    <row r="252" spans="1:9" x14ac:dyDescent="0.25">
      <c r="A252" s="26"/>
      <c r="B252" s="15"/>
      <c r="C252" s="16" t="s">
        <v>14</v>
      </c>
      <c r="D252" s="15" t="s">
        <v>94</v>
      </c>
      <c r="E252" s="16"/>
      <c r="F252" s="15" t="s">
        <v>16</v>
      </c>
      <c r="G252" s="15"/>
      <c r="H252" s="16">
        <v>4</v>
      </c>
      <c r="I252" s="17">
        <v>2</v>
      </c>
    </row>
    <row r="253" spans="1:9" x14ac:dyDescent="0.25">
      <c r="A253" s="24">
        <v>2</v>
      </c>
      <c r="B253" s="32" t="s">
        <v>95</v>
      </c>
      <c r="C253" s="16"/>
      <c r="D253" s="15"/>
      <c r="E253" s="16"/>
      <c r="F253" s="15"/>
      <c r="G253" s="15"/>
      <c r="H253" s="16"/>
      <c r="I253" s="17"/>
    </row>
    <row r="254" spans="1:9" ht="31.5" x14ac:dyDescent="0.25">
      <c r="A254" s="59"/>
      <c r="B254" s="59"/>
      <c r="C254" s="16" t="s">
        <v>18</v>
      </c>
      <c r="D254" s="15" t="s">
        <v>96</v>
      </c>
      <c r="E254" s="16"/>
      <c r="F254" s="15"/>
      <c r="G254" s="15"/>
      <c r="H254" s="16">
        <v>4</v>
      </c>
      <c r="I254" s="17">
        <v>2</v>
      </c>
    </row>
    <row r="255" spans="1:9" ht="63" x14ac:dyDescent="0.25">
      <c r="A255" s="24"/>
      <c r="B255" s="32"/>
      <c r="C255" s="16"/>
      <c r="D255" s="15"/>
      <c r="E255" s="16">
        <v>0</v>
      </c>
      <c r="F255" s="15" t="s">
        <v>150</v>
      </c>
      <c r="G255" s="15"/>
      <c r="H255" s="16"/>
      <c r="I255" s="17"/>
    </row>
    <row r="256" spans="1:9" ht="78.75" x14ac:dyDescent="0.25">
      <c r="A256" s="26"/>
      <c r="B256" s="15"/>
      <c r="C256" s="16"/>
      <c r="D256" s="15"/>
      <c r="E256" s="16">
        <v>1</v>
      </c>
      <c r="F256" s="15" t="s">
        <v>151</v>
      </c>
      <c r="G256" s="15"/>
      <c r="H256" s="16"/>
      <c r="I256" s="17"/>
    </row>
    <row r="257" spans="1:9" ht="78.75" x14ac:dyDescent="0.25">
      <c r="A257" s="26"/>
      <c r="B257" s="15"/>
      <c r="C257" s="16"/>
      <c r="D257" s="15"/>
      <c r="E257" s="16">
        <v>2</v>
      </c>
      <c r="F257" s="15" t="s">
        <v>152</v>
      </c>
      <c r="G257" s="15"/>
      <c r="H257" s="59"/>
      <c r="I257" s="59"/>
    </row>
    <row r="258" spans="1:9" ht="78.75" x14ac:dyDescent="0.25">
      <c r="A258" s="26"/>
      <c r="B258" s="15"/>
      <c r="C258" s="16"/>
      <c r="D258" s="15"/>
      <c r="E258" s="16">
        <v>3</v>
      </c>
      <c r="F258" s="15" t="s">
        <v>153</v>
      </c>
      <c r="G258" s="15"/>
      <c r="H258" s="11"/>
      <c r="I258" s="40"/>
    </row>
    <row r="259" spans="1:9" x14ac:dyDescent="0.25">
      <c r="A259" s="14"/>
      <c r="B259" s="15"/>
      <c r="C259" s="16" t="s">
        <v>18</v>
      </c>
      <c r="D259" s="15" t="s">
        <v>97</v>
      </c>
      <c r="E259" s="16"/>
      <c r="F259" s="15"/>
      <c r="G259" s="15"/>
      <c r="H259" s="16">
        <v>4</v>
      </c>
      <c r="I259" s="17">
        <v>2</v>
      </c>
    </row>
    <row r="260" spans="1:9" x14ac:dyDescent="0.25">
      <c r="A260" s="26"/>
      <c r="B260" s="15"/>
      <c r="C260" s="16"/>
      <c r="D260" s="15"/>
      <c r="E260" s="16">
        <v>0</v>
      </c>
      <c r="F260" s="15" t="s">
        <v>98</v>
      </c>
      <c r="G260" s="15"/>
      <c r="H260" s="11"/>
      <c r="I260" s="40"/>
    </row>
    <row r="261" spans="1:9" ht="47.25" x14ac:dyDescent="0.25">
      <c r="A261" s="26"/>
      <c r="B261" s="15"/>
      <c r="C261" s="16"/>
      <c r="D261" s="15"/>
      <c r="E261" s="16">
        <v>1</v>
      </c>
      <c r="F261" s="15" t="s">
        <v>156</v>
      </c>
      <c r="G261" s="15"/>
      <c r="H261" s="11"/>
      <c r="I261" s="40"/>
    </row>
    <row r="262" spans="1:9" ht="47.25" x14ac:dyDescent="0.25">
      <c r="A262" s="26"/>
      <c r="B262" s="15"/>
      <c r="C262" s="16"/>
      <c r="D262" s="15"/>
      <c r="E262" s="16">
        <v>2</v>
      </c>
      <c r="F262" s="15" t="s">
        <v>155</v>
      </c>
      <c r="G262" s="15"/>
      <c r="H262" s="16"/>
      <c r="I262" s="17"/>
    </row>
    <row r="263" spans="1:9" ht="63" x14ac:dyDescent="0.25">
      <c r="A263" s="26"/>
      <c r="B263" s="15"/>
      <c r="C263" s="16"/>
      <c r="D263" s="15"/>
      <c r="E263" s="16">
        <v>3</v>
      </c>
      <c r="F263" s="15" t="s">
        <v>154</v>
      </c>
      <c r="G263" s="15"/>
      <c r="H263" s="16"/>
      <c r="I263" s="17"/>
    </row>
    <row r="264" spans="1:9" ht="31.5" x14ac:dyDescent="0.25">
      <c r="A264" s="26"/>
      <c r="B264" s="15"/>
      <c r="C264" s="16" t="s">
        <v>18</v>
      </c>
      <c r="D264" s="15" t="s">
        <v>99</v>
      </c>
      <c r="E264" s="16"/>
      <c r="F264" s="15"/>
      <c r="G264" s="15"/>
      <c r="H264" s="16">
        <v>4</v>
      </c>
      <c r="I264" s="17">
        <v>2</v>
      </c>
    </row>
    <row r="265" spans="1:9" x14ac:dyDescent="0.25">
      <c r="A265" s="26"/>
      <c r="B265" s="15"/>
      <c r="C265" s="16"/>
      <c r="D265" s="15"/>
      <c r="E265" s="16">
        <v>0</v>
      </c>
      <c r="F265" s="15" t="s">
        <v>100</v>
      </c>
      <c r="G265" s="15"/>
      <c r="H265" s="11"/>
      <c r="I265" s="40"/>
    </row>
    <row r="266" spans="1:9" x14ac:dyDescent="0.25">
      <c r="A266" s="26"/>
      <c r="B266" s="15"/>
      <c r="C266" s="16"/>
      <c r="D266" s="15"/>
      <c r="E266" s="16">
        <v>1</v>
      </c>
      <c r="F266" s="15" t="s">
        <v>101</v>
      </c>
      <c r="G266" s="15"/>
      <c r="H266" s="16"/>
      <c r="I266" s="17"/>
    </row>
    <row r="267" spans="1:9" x14ac:dyDescent="0.25">
      <c r="A267" s="26"/>
      <c r="B267" s="15"/>
      <c r="C267" s="16"/>
      <c r="D267" s="15"/>
      <c r="E267" s="16">
        <v>2</v>
      </c>
      <c r="F267" s="15" t="s">
        <v>102</v>
      </c>
      <c r="G267" s="15"/>
      <c r="H267" s="16"/>
      <c r="I267" s="17"/>
    </row>
    <row r="268" spans="1:9" x14ac:dyDescent="0.25">
      <c r="A268" s="26"/>
      <c r="B268" s="15"/>
      <c r="C268" s="16"/>
      <c r="D268" s="15"/>
      <c r="E268" s="16">
        <v>3</v>
      </c>
      <c r="F268" s="15" t="s">
        <v>103</v>
      </c>
      <c r="G268" s="15"/>
      <c r="H268" s="16"/>
      <c r="I268" s="17"/>
    </row>
    <row r="269" spans="1:9" ht="31.5" x14ac:dyDescent="0.25">
      <c r="A269" s="11">
        <v>3</v>
      </c>
      <c r="B269" s="32" t="s">
        <v>141</v>
      </c>
      <c r="C269" s="59"/>
      <c r="D269" s="59"/>
      <c r="E269" s="11"/>
      <c r="F269" s="59"/>
      <c r="G269" s="32"/>
      <c r="H269" s="11">
        <v>3</v>
      </c>
      <c r="I269" s="40">
        <v>2</v>
      </c>
    </row>
    <row r="270" spans="1:9" x14ac:dyDescent="0.25">
      <c r="A270" s="59"/>
      <c r="B270" s="59"/>
      <c r="C270" s="11" t="s">
        <v>14</v>
      </c>
      <c r="D270" s="32" t="s">
        <v>104</v>
      </c>
      <c r="E270" s="11"/>
      <c r="F270" s="32" t="s">
        <v>16</v>
      </c>
      <c r="G270" s="32"/>
      <c r="H270" s="59"/>
      <c r="I270" s="59"/>
    </row>
    <row r="271" spans="1:9" x14ac:dyDescent="0.25">
      <c r="A271" s="42"/>
      <c r="B271" s="62"/>
      <c r="C271" s="62"/>
      <c r="D271" s="62"/>
      <c r="E271" s="62"/>
      <c r="F271" s="62"/>
      <c r="G271" s="43" t="s">
        <v>105</v>
      </c>
      <c r="H271" s="44"/>
      <c r="I271" s="45">
        <f>I233+I223+I215+I96+I43+I7</f>
        <v>100</v>
      </c>
    </row>
    <row r="272" spans="1:9" x14ac:dyDescent="0.25">
      <c r="A272" s="27"/>
    </row>
    <row r="273" ht="34.5" customHeight="1" x14ac:dyDescent="0.2"/>
    <row r="274" ht="12.75" x14ac:dyDescent="0.2"/>
    <row r="275" ht="12.75" x14ac:dyDescent="0.2"/>
    <row r="276" ht="12.75" x14ac:dyDescent="0.2"/>
    <row r="277" ht="12.75" x14ac:dyDescent="0.2"/>
    <row r="278" ht="12.75" x14ac:dyDescent="0.2"/>
    <row r="279" ht="12.75" x14ac:dyDescent="0.2"/>
    <row r="280" ht="12.75" x14ac:dyDescent="0.2"/>
    <row r="281" ht="12.75" x14ac:dyDescent="0.2"/>
    <row r="282" ht="21" customHeight="1" x14ac:dyDescent="0.2"/>
    <row r="283" ht="18" customHeight="1" x14ac:dyDescent="0.2"/>
    <row r="284" ht="20.25" customHeight="1" x14ac:dyDescent="0.2"/>
    <row r="285" ht="12.75" x14ac:dyDescent="0.2"/>
    <row r="286" ht="12.75" x14ac:dyDescent="0.2"/>
    <row r="287" ht="12.75" x14ac:dyDescent="0.2"/>
    <row r="288" ht="12.75" x14ac:dyDescent="0.2"/>
    <row r="289" ht="12.75" x14ac:dyDescent="0.2"/>
    <row r="290" ht="21" customHeight="1" x14ac:dyDescent="0.2"/>
    <row r="291" ht="21" customHeight="1" x14ac:dyDescent="0.2"/>
    <row r="292" ht="18.75" customHeight="1" x14ac:dyDescent="0.2"/>
    <row r="293" ht="16.5" customHeight="1" x14ac:dyDescent="0.2"/>
    <row r="294" ht="16.5" customHeight="1" x14ac:dyDescent="0.2"/>
    <row r="295" ht="18.75" customHeight="1" x14ac:dyDescent="0.2"/>
    <row r="296" ht="12.75" x14ac:dyDescent="0.2"/>
    <row r="297" ht="12.75" x14ac:dyDescent="0.2"/>
    <row r="298" ht="21.75" customHeight="1" x14ac:dyDescent="0.2"/>
    <row r="299" ht="19.5" customHeight="1" x14ac:dyDescent="0.2"/>
    <row r="300" ht="34.5" customHeight="1" x14ac:dyDescent="0.2"/>
    <row r="301" ht="12.75" x14ac:dyDescent="0.2"/>
    <row r="302" ht="12.75" x14ac:dyDescent="0.2"/>
    <row r="303" ht="12.75" x14ac:dyDescent="0.2"/>
    <row r="304" ht="12.75" x14ac:dyDescent="0.2"/>
    <row r="305" ht="12.75" x14ac:dyDescent="0.2"/>
    <row r="306" ht="12.75" x14ac:dyDescent="0.2"/>
    <row r="307" ht="30.75" customHeight="1" x14ac:dyDescent="0.2"/>
    <row r="308" ht="23.25" customHeight="1" x14ac:dyDescent="0.2"/>
    <row r="309" ht="21" customHeight="1" x14ac:dyDescent="0.2"/>
    <row r="310" ht="17.25" customHeight="1" x14ac:dyDescent="0.2"/>
    <row r="311" ht="21" customHeight="1" x14ac:dyDescent="0.2"/>
    <row r="312" ht="19.5" customHeight="1" x14ac:dyDescent="0.2"/>
    <row r="313" ht="12.75" x14ac:dyDescent="0.2"/>
    <row r="314" ht="17.25" customHeight="1" x14ac:dyDescent="0.2"/>
    <row r="315" ht="12.75" x14ac:dyDescent="0.2"/>
    <row r="316" ht="12.75" x14ac:dyDescent="0.2"/>
    <row r="317" ht="12.75" x14ac:dyDescent="0.2"/>
    <row r="318" ht="12.75" x14ac:dyDescent="0.2"/>
    <row r="319" ht="12.75" x14ac:dyDescent="0.2"/>
    <row r="320" ht="12.75" x14ac:dyDescent="0.2"/>
    <row r="321" ht="12.75" x14ac:dyDescent="0.2"/>
    <row r="322" ht="12.75" x14ac:dyDescent="0.2"/>
    <row r="323" ht="12.75" x14ac:dyDescent="0.2"/>
    <row r="324" ht="12.75" x14ac:dyDescent="0.2"/>
    <row r="325" ht="12.75" x14ac:dyDescent="0.2"/>
    <row r="326" ht="12.75" x14ac:dyDescent="0.2"/>
    <row r="327" ht="12.75" x14ac:dyDescent="0.2"/>
    <row r="328" ht="12.75" x14ac:dyDescent="0.2"/>
    <row r="329" ht="12.75" x14ac:dyDescent="0.2"/>
    <row r="330" ht="21" customHeight="1" x14ac:dyDescent="0.2"/>
    <row r="331" ht="12.75" x14ac:dyDescent="0.2"/>
    <row r="332" ht="12.75" x14ac:dyDescent="0.2"/>
    <row r="333" ht="12.75" x14ac:dyDescent="0.2"/>
    <row r="334" ht="12.75" x14ac:dyDescent="0.2"/>
    <row r="335" ht="12.75" x14ac:dyDescent="0.2"/>
    <row r="336" ht="12.75" x14ac:dyDescent="0.2"/>
    <row r="337" ht="12.75" x14ac:dyDescent="0.2"/>
    <row r="338" ht="12.75" x14ac:dyDescent="0.2"/>
    <row r="339" ht="12.75" x14ac:dyDescent="0.2"/>
    <row r="340" ht="12.75" x14ac:dyDescent="0.2"/>
    <row r="341" ht="12.75" x14ac:dyDescent="0.2"/>
    <row r="342" ht="12.75" x14ac:dyDescent="0.2"/>
    <row r="343" ht="12.75" x14ac:dyDescent="0.2"/>
  </sheetData>
  <mergeCells count="2">
    <mergeCell ref="B43:C43"/>
    <mergeCell ref="B7:D7"/>
  </mergeCells>
  <pageMargins left="0.7" right="0.7" top="0.75" bottom="0.75" header="0.3" footer="0.3"/>
  <pageSetup paperSize="9" firstPageNumber="2147483647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"/>
  <sheetViews>
    <sheetView workbookViewId="0">
      <selection activeCell="B25" sqref="B25"/>
    </sheetView>
  </sheetViews>
  <sheetFormatPr defaultRowHeight="12.75" x14ac:dyDescent="0.2"/>
  <cols>
    <col min="1" max="1" width="11.85546875" customWidth="1"/>
    <col min="2" max="2" width="63.85546875" customWidth="1"/>
  </cols>
  <sheetData>
    <row r="1" spans="1:2" ht="15.75" x14ac:dyDescent="0.2">
      <c r="A1" s="51" t="s">
        <v>106</v>
      </c>
      <c r="B1" s="51"/>
    </row>
    <row r="2" spans="1:2" ht="20.25" customHeight="1" x14ac:dyDescent="0.2">
      <c r="A2" s="28">
        <v>1</v>
      </c>
      <c r="B2" s="29" t="s">
        <v>107</v>
      </c>
    </row>
    <row r="3" spans="1:2" ht="20.25" customHeight="1" x14ac:dyDescent="0.2">
      <c r="A3" s="28">
        <v>2</v>
      </c>
      <c r="B3" s="29" t="s">
        <v>60</v>
      </c>
    </row>
    <row r="4" spans="1:2" ht="23.25" customHeight="1" x14ac:dyDescent="0.2">
      <c r="A4" s="28">
        <v>3</v>
      </c>
      <c r="B4" s="29" t="s">
        <v>81</v>
      </c>
    </row>
    <row r="5" spans="1:2" ht="19.5" customHeight="1" x14ac:dyDescent="0.2">
      <c r="A5" s="28">
        <v>4</v>
      </c>
      <c r="B5" s="29" t="s">
        <v>84</v>
      </c>
    </row>
  </sheetData>
  <mergeCells count="1">
    <mergeCell ref="A1:B1"/>
  </mergeCells>
  <pageMargins left="0.7" right="0.7" top="0.75" bottom="0.75" header="0.3" footer="0.3"/>
  <pageSetup paperSize="9" firstPageNumber="2147483647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Критерии оценки</vt:lpstr>
      <vt:lpstr>Перечень профессиональных задач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Alex Krynkin</cp:lastModifiedBy>
  <cp:revision>6</cp:revision>
  <dcterms:created xsi:type="dcterms:W3CDTF">2024-07-09T12:14:21Z</dcterms:created>
  <dcterms:modified xsi:type="dcterms:W3CDTF">2025-02-28T09:50:20Z</dcterms:modified>
</cp:coreProperties>
</file>